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mes Reference" sheetId="1" r:id="rId5"/>
    <sheet state="visible" name="Summary" sheetId="2" r:id="rId6"/>
    <sheet state="visible" name="Outcomes Index" sheetId="3" r:id="rId7"/>
    <sheet state="visible" name="Gaps &amp; Next Steps" sheetId="4" r:id="rId8"/>
    <sheet state="visible" name="Hierarchy" sheetId="5" r:id="rId9"/>
    <sheet state="visible" name="Roadmap View" sheetId="6" r:id="rId10"/>
  </sheets>
  <definedNames>
    <definedName hidden="1" localSheetId="2" name="_xlnm._FilterDatabase">'Outcomes Index'!$A$1:$G$27</definedName>
  </definedNames>
  <calcPr/>
</workbook>
</file>

<file path=xl/sharedStrings.xml><?xml version="1.0" encoding="utf-8"?>
<sst xmlns="http://schemas.openxmlformats.org/spreadsheetml/2006/main" count="1680" uniqueCount="351">
  <si>
    <t>Theme ID</t>
  </si>
  <si>
    <t>Theme Name</t>
  </si>
  <si>
    <t>HATSTRAT Key</t>
  </si>
  <si>
    <t>Key Line</t>
  </si>
  <si>
    <t>Description</t>
  </si>
  <si>
    <t>Deep-Dive Link</t>
  </si>
  <si>
    <t>T1: BYOA</t>
  </si>
  <si>
    <t>Bring Your Own Agent</t>
  </si>
  <si>
    <t>Your agent. Our platform. Production-ready.</t>
  </si>
  <si>
    <t>You bring your agent, any framework, any runtime, any protocol. We make it production-ready. Secure it, observe it, evaluate it, sandbox it, govern it, add memory primitives.</t>
  </si>
  <si>
    <t>Theme 1 Deep-Dive</t>
  </si>
  <si>
    <t>T2: One API</t>
  </si>
  <si>
    <t>Capture Agentic API Surface, Funnel onto RHAI</t>
  </si>
  <si>
    <t>Every API. Every framework. Zero code changes.</t>
  </si>
  <si>
    <t>The platform speaks every protocol agents use: Completions (OpenAI), Responses (OpenAI), Messages (Anthropic), Interactions (Google). Sovereignty means the customer owns the API contract, not just the model weights.</t>
  </si>
  <si>
    <t>Theme 2 Deep-Dive</t>
  </si>
  <si>
    <t>T3: Tools to Swarms</t>
  </si>
  <si>
    <t>From Tools to Swarms</t>
  </si>
  <si>
    <t>From connecting one agent to orchestrating hundreds.</t>
  </si>
  <si>
    <t>Connect: Agents to tools (MCP) and agents to agents (A2A). Scale: Discover, route, schedule, recover, bound. The monolith-to-microservices moment, happening again.</t>
  </si>
  <si>
    <t>Theme 3 Deep-Dive</t>
  </si>
  <si>
    <t>T4: Inference</t>
  </si>
  <si>
    <t>Self-Hosted Inference That Actually Works for Agents</t>
  </si>
  <si>
    <t>Not a compromise, a competitive advantage.</t>
  </si>
  <si>
    <t>Inference is at the heart of Red Hat AI. If self-hosted models can't do tool calling reliably, customers fall back to frontier APIs and open-weight models go unused. Smart defaults, model stratification, code execution exploration.</t>
  </si>
  <si>
    <t>Theme 4 Deep-Dive</t>
  </si>
  <si>
    <t>T5: First Agent</t>
  </si>
  <si>
    <t>Deploy/Manage Your First Agent on Red Hat</t>
  </si>
  <si>
    <t>From idea to production on Day 1.</t>
  </si>
  <si>
    <t>Cross-cutting onramp across all themes. Day 0: discover and scaffold. Day 1: develop, evaluate, deploy. Day 2+: discover, collaborate, hand off to production.</t>
  </si>
  <si>
    <t>Cross-cutting Deep-Dive</t>
  </si>
  <si>
    <t>All Strategic Themes (Strategy doc)</t>
  </si>
  <si>
    <t>Open Strategy Doc</t>
  </si>
  <si>
    <t>Theme</t>
  </si>
  <si>
    <t>Outcomes</t>
  </si>
  <si>
    <t>Items</t>
  </si>
  <si>
    <t>Features/RFEs Count</t>
  </si>
  <si>
    <t>UNROUTED</t>
  </si>
  <si>
    <t>TOTAL</t>
  </si>
  <si>
    <t>Jira Key</t>
  </si>
  <si>
    <t>Name</t>
  </si>
  <si>
    <t>Status</t>
  </si>
  <si>
    <t>Children</t>
  </si>
  <si>
    <t>Agent Memory Primitives</t>
  </si>
  <si>
    <t>New</t>
  </si>
  <si>
    <t>Make Agents Trustworthy: Enterprise AgentOps Lifecycle</t>
  </si>
  <si>
    <t>In Progress</t>
  </si>
  <si>
    <t>Streamlined Prompt Management &amp; Versioning</t>
  </si>
  <si>
    <t>Understand and Measure Your Agents</t>
  </si>
  <si>
    <t>[Summit] BYOA - AgentOps Journey for summit</t>
  </si>
  <si>
    <t>API Ecosystem: Connectors, FileStore, and Supporting APIs</t>
  </si>
  <si>
    <t>Anthropic Messages API Support</t>
  </si>
  <si>
    <t>Consistent Agentic API: Responses and Inference Parity</t>
  </si>
  <si>
    <t>Create Deployment Best Practices Guide</t>
  </si>
  <si>
    <t>Google Interactions API Support</t>
  </si>
  <si>
    <t>Llama Stack Multi-Arch and Deployment Targets</t>
  </si>
  <si>
    <t>Llama Stack Platform Operations</t>
  </si>
  <si>
    <t>Multi-Provider Auth and Security</t>
  </si>
  <si>
    <t>Multi-Provider Onboarding</t>
  </si>
  <si>
    <t>Work with General Purpose Agents: Runtime Compatibility</t>
  </si>
  <si>
    <t>lik</t>
  </si>
  <si>
    <t>MCP Ecosystem MVP for Summit (RHOAI 3.4)</t>
  </si>
  <si>
    <t>MCP Trust, Certification, and Catalog</t>
  </si>
  <si>
    <t>Model Context Protocol (MCP) - 3.5 Deliverables</t>
  </si>
  <si>
    <t>Securely Connect Agents to Tools: MCP Connectivity</t>
  </si>
  <si>
    <t>Improve Llama Stack Developer Experience through Enhanced Documentation</t>
  </si>
  <si>
    <t>Make Red Hat Inference Server the Best for Agents</t>
  </si>
  <si>
    <t>Crafting an OpenShift AI-Native End-to-End Agentic/RAG experience</t>
  </si>
  <si>
    <t>Show How to Build Agents on Red Hat: Starter Kits</t>
  </si>
  <si>
    <t>Towards Red Hat AI UI: Reorganize OpenShift AI UI for Generative Experiences</t>
  </si>
  <si>
    <t>Title</t>
  </si>
  <si>
    <t>Type</t>
  </si>
  <si>
    <t>Assignee</t>
  </si>
  <si>
    <t>Components</t>
  </si>
  <si>
    <t>Version</t>
  </si>
  <si>
    <t>Priority</t>
  </si>
  <si>
    <t>Reason</t>
  </si>
  <si>
    <t>Notes</t>
  </si>
  <si>
    <t>Midstream distribution of Docling MCP Server</t>
  </si>
  <si>
    <t>Feature Request</t>
  </si>
  <si>
    <t>Stakeholder review</t>
  </si>
  <si>
    <t>Francisco Arceo</t>
  </si>
  <si>
    <t>Data Processing</t>
  </si>
  <si>
    <t>3.Next-candidate</t>
  </si>
  <si>
    <t>Normal</t>
  </si>
  <si>
    <t>No outcome parent found in Jira hierarchy</t>
  </si>
  <si>
    <t>Add MCP Elicitation Support to Llama Stack</t>
  </si>
  <si>
    <t>Aakanksha Duggal</t>
  </si>
  <si>
    <t>AgentDev</t>
  </si>
  <si>
    <t>Llama Stack Programmatic Tool Use (Code-Based Orchestration)</t>
  </si>
  <si>
    <t>Pending Approval</t>
  </si>
  <si>
    <t>Bill Murdock</t>
  </si>
  <si>
    <t>Show how to add observability via MLFlow to agentic template frameworks</t>
  </si>
  <si>
    <t>AgentDev, Tooling Experience</t>
  </si>
  <si>
    <t>Critical</t>
  </si>
  <si>
    <t>Skills Registry: Verified Skills for Agentic AI</t>
  </si>
  <si>
    <t>AgentDev, AgentOps, AI Core Platform, AI Core Platform Security, AI Hub</t>
  </si>
  <si>
    <t>3.5-candidate</t>
  </si>
  <si>
    <t>Major</t>
  </si>
  <si>
    <t>MCP Gateway UI Registration and Virtual MCP Server Management</t>
  </si>
  <si>
    <t>Ramesh Reddy</t>
  </si>
  <si>
    <t>AgentDev, AI Core Dashboard</t>
  </si>
  <si>
    <t>Agent Registry for OpenShift AI (RHOAI) -- Phase 1</t>
  </si>
  <si>
    <t>Chris Hambridge</t>
  </si>
  <si>
    <t>AgentDev, Agentic, AI Hub</t>
  </si>
  <si>
    <t>GA readiness for the Responses API</t>
  </si>
  <si>
    <t>AgentDev, Documentation, Llama Stack Core</t>
  </si>
  <si>
    <t>MLFlow Prompt Template Integration in gen AI studio</t>
  </si>
  <si>
    <t>Danielle Jett</t>
  </si>
  <si>
    <t>Agentic, Gen AI Studio</t>
  </si>
  <si>
    <t>LlamaStack Support for Claude Code Agent SDK</t>
  </si>
  <si>
    <t>Sebastien Han</t>
  </si>
  <si>
    <t>Llama Stack Core</t>
  </si>
  <si>
    <t>Contextual Retrieval: Support external storage references and batched LLM calls</t>
  </si>
  <si>
    <t>Llama Stack Core, RAG</t>
  </si>
  <si>
    <t>[TP] Llama Stack should be support Multi-Arch [ARM]</t>
  </si>
  <si>
    <t>Feature</t>
  </si>
  <si>
    <t>Review</t>
  </si>
  <si>
    <t>Douglas Edgar</t>
  </si>
  <si>
    <t>Documentation, Llama Stack Core</t>
  </si>
  <si>
    <t>rhoai-3.3</t>
  </si>
  <si>
    <t>RHAISTRAT-932</t>
  </si>
  <si>
    <t>RHAISTRAT-932 or RHAISTRAT-1354</t>
  </si>
  <si>
    <t>RHAISTRAT-206</t>
  </si>
  <si>
    <t>RHAISTRAT-1354</t>
  </si>
  <si>
    <t>RHAISTRAT-1344</t>
  </si>
  <si>
    <t>RHAISTRAT-155</t>
  </si>
  <si>
    <t>RHAISTRAT-919</t>
  </si>
  <si>
    <t>RHAISTRAT-1073</t>
  </si>
  <si>
    <t>RHAISTRAT-1353</t>
  </si>
  <si>
    <t>RHAISTRAT-1357</t>
  </si>
  <si>
    <t>RHAISTRAT-1351</t>
  </si>
  <si>
    <t>RHAISTRAT-1049</t>
  </si>
  <si>
    <t>RHAISTRAT-1211 or RHAISTRAT-155</t>
  </si>
  <si>
    <t>RHAISTRAT-1350</t>
  </si>
  <si>
    <t>RHAISTRAT-1352</t>
  </si>
  <si>
    <t>RHAISTRAT-947</t>
  </si>
  <si>
    <t>Outcome</t>
  </si>
  <si>
    <t>Jira</t>
  </si>
  <si>
    <t>Live Tracing &amp; Basic Observability -- Visualize real-time spans for chats/agents</t>
  </si>
  <si>
    <t>Eder Ignatowicz</t>
  </si>
  <si>
    <t>AI Core Dashboard</t>
  </si>
  <si>
    <t>Bring Your Own Agent (BYOA) for Unified Agent Lifecycle Management</t>
  </si>
  <si>
    <t>AgentDev, AgentOps, AI Core Platform, AI Platform DevOps</t>
  </si>
  <si>
    <t>3.Next-candidate, post-summit</t>
  </si>
  <si>
    <t>Enable browsing, searching, and discovering registered agents in the UI (Agent Hub)</t>
  </si>
  <si>
    <t>AgentDev, AgentOps, AI Core Dashboard</t>
  </si>
  <si>
    <t>Implement Agentic Security and Access Control</t>
  </si>
  <si>
    <t>Refinement</t>
  </si>
  <si>
    <t>Dimitri Saridakis</t>
  </si>
  <si>
    <t>AgentDev, AgentOps</t>
  </si>
  <si>
    <t>Enable Safe Execution of LLM-Generated/User-provided code (Sandboxing)</t>
  </si>
  <si>
    <t>AgentDev, AgentOps, Security</t>
  </si>
  <si>
    <t>Implement Cost Management &amp; Optimization for Agentic AI</t>
  </si>
  <si>
    <t>AgentDev, AgentOps, KubeRay, RAG, Training Kubeflow</t>
  </si>
  <si>
    <t>Experiment with Deployed Agents via the 'Agent Playground'</t>
  </si>
  <si>
    <t>Unassigned</t>
  </si>
  <si>
    <t>Agent Identity, RBAC, and Security Isolation</t>
  </si>
  <si>
    <t>AgentOps</t>
  </si>
  <si>
    <t>Streamlined Prompt Management with Llama Stack Responses API</t>
  </si>
  <si>
    <t>Agentic</t>
  </si>
  <si>
    <t>Establish Compatibility in Llama Stack for /resources and /Prompts</t>
  </si>
  <si>
    <t>Adel Zaalouk</t>
  </si>
  <si>
    <t>AgentDev, Agentic</t>
  </si>
  <si>
    <t>rhoai-3.0.next</t>
  </si>
  <si>
    <t>Implement Platform-Native GenAI Observability with OTel Semantic Conventions</t>
  </si>
  <si>
    <t>AgentDev, AgentOps, Model and Agent Observability</t>
  </si>
  <si>
    <t>Evaluation &amp; Experimentation Platform for Agentic AI Applications</t>
  </si>
  <si>
    <t>Rui Vieira</t>
  </si>
  <si>
    <t>AgentDev, MLflow, Model Eval, UXD</t>
  </si>
  <si>
    <t>3.4-candidate, rhoai-3.4</t>
  </si>
  <si>
    <t>Pre-Deployment Safety Evaluation Suite</t>
  </si>
  <si>
    <t>Introduce E2E Observability for Llama Stack in the product</t>
  </si>
  <si>
    <t>Release Pending</t>
  </si>
  <si>
    <t>Emilio Garcia</t>
  </si>
  <si>
    <t>AI Core Dashboard, AI Core Platform, Documentation, Llama Stack Core</t>
  </si>
  <si>
    <t>Add Garak eval provider to llama-stack distribution</t>
  </si>
  <si>
    <t>Mustafa Elbehery</t>
  </si>
  <si>
    <t>AI Safety, Llama Stack Core</t>
  </si>
  <si>
    <t>rhoai-3.4</t>
  </si>
  <si>
    <t>[TP] Productize Kagenti &amp; Downstream the Operator + Kagenti</t>
  </si>
  <si>
    <t>Jay Koehler</t>
  </si>
  <si>
    <t>AgentOps, AI Core Platform, AI Platform DevOps</t>
  </si>
  <si>
    <t>[DP] AgentCard Support for Post-deployment Agent Discovery</t>
  </si>
  <si>
    <t>3.4-candidate, 3.4-committed</t>
  </si>
  <si>
    <t>[DP] Agent - MLflow Tracing Integration</t>
  </si>
  <si>
    <t>AgentOps, MLflow</t>
  </si>
  <si>
    <t>3.4-candidate</t>
  </si>
  <si>
    <t>[DP] Agent Deploy &amp; Runtime Management</t>
  </si>
  <si>
    <t>AgentOps, Tooling Experience</t>
  </si>
  <si>
    <t>3.4-candidate, 3.4-committed, summit-2026</t>
  </si>
  <si>
    <t>Kagenti Codebase Cleanup &amp; Dependency Reduction</t>
  </si>
  <si>
    <t>Sandboxed Containers API and Shell Tool for Agent Code Execution</t>
  </si>
  <si>
    <t>AgentDev, Llama Stack Core</t>
  </si>
  <si>
    <t>Integrate OpenClaw Installer into ODH Dashboard</t>
  </si>
  <si>
    <t>AgentOps, AI Core Dashboard, Gen AI Studio</t>
  </si>
  <si>
    <t>Undefined</t>
  </si>
  <si>
    <t>Integrate Docling as backend provider for File Processor API</t>
  </si>
  <si>
    <t>Alina Ryan</t>
  </si>
  <si>
    <t>Charlie Doern</t>
  </si>
  <si>
    <t>NeMo Guardrails: Support Anthropic Messages API</t>
  </si>
  <si>
    <t>AI Safety</t>
  </si>
  <si>
    <t>Tech-preview (readiness) for the responses API</t>
  </si>
  <si>
    <t>Justin Sun</t>
  </si>
  <si>
    <t>3.4-candidate, 3.4-committed, rhoai-3.4</t>
  </si>
  <si>
    <t>Tech-preview/GA readiness for the conversations API</t>
  </si>
  <si>
    <t>Improve Responses API OpenAI parity</t>
  </si>
  <si>
    <t>Improve Inference API OpenAI parity</t>
  </si>
  <si>
    <t>3.5-candidate, rhoai-3.5</t>
  </si>
  <si>
    <t>Production-Grade Response Storage and Persistence</t>
  </si>
  <si>
    <t>Responses API Observability Integration</t>
  </si>
  <si>
    <t>Code Interpreter Tool Type for the Responses API</t>
  </si>
  <si>
    <t>Responses API Extended Capabilities</t>
  </si>
  <si>
    <t>OpenAI Responses API Supporting APIs Parity</t>
  </si>
  <si>
    <t>Server-Side Conversation Compaction API</t>
  </si>
  <si>
    <t>Reliable Multi-Turn Stateful Tool Calling Through Responses API</t>
  </si>
  <si>
    <t>Llama Stack Programmatic Tool Use</t>
  </si>
  <si>
    <t>Security guide for Llamastack</t>
  </si>
  <si>
    <t>Document Llama Stack Multi-Tenancy</t>
  </si>
  <si>
    <t>Llama Stack should support Multi-Arch [ARM]</t>
  </si>
  <si>
    <t>Llama Stack should be support Multi-Arch [Z]</t>
  </si>
  <si>
    <t>Modassar Rana</t>
  </si>
  <si>
    <t>IBM Z, Llama Stack Core</t>
  </si>
  <si>
    <t>Llama Stack should be support Multi-Arch [Power]</t>
  </si>
  <si>
    <t>Varad Ahirwadkar</t>
  </si>
  <si>
    <t>IBM P, Llama Stack Core</t>
  </si>
  <si>
    <t>Llama Stack Performance and Capacity Measurement/Documentation</t>
  </si>
  <si>
    <t>Alex Calhoun</t>
  </si>
  <si>
    <t>Llama Stack Core, PerfScale</t>
  </si>
  <si>
    <t>Enable Day-2 Config and Deploy-Time Modularity for Llama Stack Providers</t>
  </si>
  <si>
    <t>Roland Huss</t>
  </si>
  <si>
    <t>[Instrument] Introduce Llama Stack API Adoption Metrics</t>
  </si>
  <si>
    <t>Guangya Liu</t>
  </si>
  <si>
    <t>AgentDev, Llama Stack Core, RAG + Vector DB</t>
  </si>
  <si>
    <t>Define Feature Responsibilities: MaaS vs. LlamaStack for Inference</t>
  </si>
  <si>
    <t>Llama Stack Core, Model as a Service</t>
  </si>
  <si>
    <t>[RHOAI 3.4] Determine the content for the LLS Distro Image</t>
  </si>
  <si>
    <t>Initiative</t>
  </si>
  <si>
    <t>Artemy Hladenko</t>
  </si>
  <si>
    <t>Documentation, LlamaStack, Llama Stack Core</t>
  </si>
  <si>
    <t>Deprecate and remove the Evaluation API</t>
  </si>
  <si>
    <t>Sumanth Kamenani</t>
  </si>
  <si>
    <t>Deprecate and remove the Safety/Shields API</t>
  </si>
  <si>
    <t>Rename Llama Stack to remove Meta trademark</t>
  </si>
  <si>
    <t>Vaishnavi Hire</t>
  </si>
  <si>
    <t>Remove inline providers from Llama Stack distribution image</t>
  </si>
  <si>
    <t>Nathan Weinberg</t>
  </si>
  <si>
    <t>Streamline Custom Llama Stack Deployments on OpenShift AI with BYOD</t>
  </si>
  <si>
    <t>Eoin Fennessy</t>
  </si>
  <si>
    <t>[Telemetry] Introduce Llama Stack API Adoption Metrics</t>
  </si>
  <si>
    <t>Automate as much of the Llama Stack build process as possible</t>
  </si>
  <si>
    <t>Introduce runtime config in LlamaStackDistribution</t>
  </si>
  <si>
    <t>Refactor Llama-Stack Upstream Release Process</t>
  </si>
  <si>
    <t>[QE] Create a CI-level tracking of downstream Llama Stack performance</t>
  </si>
  <si>
    <t>Matt Leader</t>
  </si>
  <si>
    <t>AAET DevOps, Llama Stack Core</t>
  </si>
  <si>
    <t>Create long-lived LLS distro deployment</t>
  </si>
  <si>
    <t>Enhance Core Access Control Policy Engine for Llama Stack</t>
  </si>
  <si>
    <t>Derek Higgins</t>
  </si>
  <si>
    <t>Add TLS and proxy configuration to all remote inference providers</t>
  </si>
  <si>
    <t>A mechanism to pass user-request headers to external llama-stack providers</t>
  </si>
  <si>
    <t>Add support for AWS STS for Bedrock provider</t>
  </si>
  <si>
    <t>Enable remote::gemini provider in Llama Stack [3.4]</t>
  </si>
  <si>
    <t>Support Non Mantle Models and APIs in AWS Bedrock</t>
  </si>
  <si>
    <t>Enable remote::gemini provider in Llama Stack</t>
  </si>
  <si>
    <t>Enable remote::anthropic provider in Llama Stack [3.5]</t>
  </si>
  <si>
    <t>Support GPT-OSS with Llama Stack</t>
  </si>
  <si>
    <t>AgentDev, Documentation</t>
  </si>
  <si>
    <t>3.4-candidate, rhoai-3.0.next, rhoai-3.4</t>
  </si>
  <si>
    <t>Multi-Provider Validation Matrix for Responses API</t>
  </si>
  <si>
    <t>Multi-Framework Conformance Testing</t>
  </si>
  <si>
    <t>Establish a Standardized Testing Process for Llama Stack Inference Providers</t>
  </si>
  <si>
    <t>Governance of Agentic Assets</t>
  </si>
  <si>
    <t>[Phase 2] Integrate Agent Catalog and Automate Deployment via Kagenti</t>
  </si>
  <si>
    <t>AgentDev, watsonx Orchestrate Collaboration</t>
  </si>
  <si>
    <t>Agent Catalog and Registry Integration</t>
  </si>
  <si>
    <t>TP-to-GA Upgrade and Migration Path</t>
  </si>
  <si>
    <t>Reusable Safety Skills in Skill Catalog</t>
  </si>
  <si>
    <t>Agentic, AI Safety</t>
  </si>
  <si>
    <t>[DP] Agent Metadata Spec, Registry &amp; Discovery</t>
  </si>
  <si>
    <t>Dev Preview - MCP Catalog -- Enterprise Control of MCP Assets</t>
  </si>
  <si>
    <t>Agentic, AI Core Dashboard, AI Hub, UXD</t>
  </si>
  <si>
    <t>Document Best Practices for Deploying MCP Servers with OpenShift AI</t>
  </si>
  <si>
    <t>To Do</t>
  </si>
  <si>
    <t>AgentDev, Agentic, Documentation</t>
  </si>
  <si>
    <t>Dev Preview - MCP Catalog: Pre-Canned MCP Servers Out-of-the-Box</t>
  </si>
  <si>
    <t>Implement an MCP Validation Framework for Server Trust, Safety, and Quality</t>
  </si>
  <si>
    <t>Rejection Pending</t>
  </si>
  <si>
    <t>AgentDev, Model Validation</t>
  </si>
  <si>
    <t>Integrate, Validate, and Certify MCP Servers (and ISVs)</t>
  </si>
  <si>
    <t>Peter Double</t>
  </si>
  <si>
    <t>MCP Registry -- Centralized Governance</t>
  </si>
  <si>
    <t>[TP] Productize MCP Lifecycle Operator for RHOAI Installation</t>
  </si>
  <si>
    <t>Lindani Phiri</t>
  </si>
  <si>
    <t>Agentic, AI Core Platform, AI Platform DevOps</t>
  </si>
  <si>
    <t>[TP] Productize RHCL Operator for RHOAI Platform -- MCP &amp; AI Inference Gateway</t>
  </si>
  <si>
    <t>AgentDev, Agentic, AI Core Platform, AI Platform DevOps</t>
  </si>
  <si>
    <t>MCP Tool Search -- Dynamic Tool Loading into Model Context</t>
  </si>
  <si>
    <t>3.6-candidate</t>
  </si>
  <si>
    <t>Introduce means for sandboxing MCP servers</t>
  </si>
  <si>
    <t>AgentDev, Security</t>
  </si>
  <si>
    <t>Clarify benchmarking embedding models chapter in product docs</t>
  </si>
  <si>
    <t>Backlog</t>
  </si>
  <si>
    <t>Kelly Brown</t>
  </si>
  <si>
    <t>Provide a supported way to run our custom distribution of LLS locally using ollama</t>
  </si>
  <si>
    <t>Enable Tool Calling Support for Top 5 Open Source Models</t>
  </si>
  <si>
    <t>Aviran Badli</t>
  </si>
  <si>
    <t>AgentDev, AI Core Dashboard, AI Hub</t>
  </si>
  <si>
    <t>Ensure RAG works on Single Node OpenShift with RHOAI</t>
  </si>
  <si>
    <t>Llama Stack Core, RAG, RAG + Vector DB</t>
  </si>
  <si>
    <t>Llama Stack RAG Testing and Automation Maturity</t>
  </si>
  <si>
    <t>Jorge Garcia Oncins</t>
  </si>
  <si>
    <t>Solr integration in llama-stack</t>
  </si>
  <si>
    <t>Bring your Langflow agent to RH AI</t>
  </si>
  <si>
    <t>Nick Ommen</t>
  </si>
  <si>
    <t>Bring your agent with llama-index to RH AI</t>
  </si>
  <si>
    <t>Productize MCP servers for RH products</t>
  </si>
  <si>
    <t>Bring your agent built on your laptop with CrewAI to RH AI</t>
  </si>
  <si>
    <t>Safety-Configured Starter Kits for Agent Runtimes</t>
  </si>
  <si>
    <t>Improve Maintenance and Ownership of LLama Stack Demos</t>
  </si>
  <si>
    <t>Documentation, Llama Stack Core, RAG + Vector DB</t>
  </si>
  <si>
    <t>Infuse Agent Deployment/Runtime Best Practices into Agent Templates</t>
  </si>
  <si>
    <t>MLflow Tracing Integration for Agentic Starter Kits</t>
  </si>
  <si>
    <t>Agent Template &amp; Demo Discovery via Dashboard Learning Resources</t>
  </si>
  <si>
    <t>Bring your agent with LangGraph to RH AI</t>
  </si>
  <si>
    <t>Knowledge Source Listing</t>
  </si>
  <si>
    <t>AI Available Assets - Implement Quota Management and Visibility</t>
  </si>
  <si>
    <t>Rob Greenberg</t>
  </si>
  <si>
    <t>AgentDev, AI Core Dashboard, AI Hub, Model Runtimes, UXD</t>
  </si>
  <si>
    <t>Chat Metrics &amp; Observability (Tracing) in Playground</t>
  </si>
  <si>
    <t>Darach Cawley</t>
  </si>
  <si>
    <t>AgentDev, AI Core Dashboard, AI Hub, Gen AI Studio, RAG + Vector DB</t>
  </si>
  <si>
    <t>RHOAI Catalog Disallow for Governance</t>
  </si>
  <si>
    <t>Andrew Ballantyne</t>
  </si>
  <si>
    <t>Benchmark (eval included) as a service modal in RHOAI</t>
  </si>
  <si>
    <t>Benchmark Results Dashboard (RHOAI)</t>
  </si>
  <si>
    <t>Online Document Ingestion via Direct Upload for the GenAI UI</t>
  </si>
  <si>
    <t>Advanced Model Validation filters for Model Catalog</t>
  </si>
  <si>
    <t>Paul Boyd</t>
  </si>
  <si>
    <t>Gen AI Studio Playground: Merge Global + Namespace MCP Servers</t>
  </si>
  <si>
    <t>Benchmark Run Detail Page (RHOAI)</t>
  </si>
  <si>
    <t>Minor</t>
  </si>
  <si>
    <t>Guardrails -- Surface Basic Llama Stack Guardrails in playground (MVP)</t>
  </si>
  <si>
    <t>Purva Naik</t>
  </si>
  <si>
    <t>AI Core Dashboard, AI Safety, Documentation, Gen AI Studio, RAG + Vector DB, UXD</t>
  </si>
  <si>
    <t>rhoai-3.5</t>
  </si>
  <si>
    <t>NOW (Summit / 3.4)</t>
  </si>
  <si>
    <t>NEXT (3.5)</t>
  </si>
  <si>
    <t>Unrouted</t>
  </si>
  <si>
    <t>LATER (3.Next+)</t>
  </si>
  <si>
    <t>NEEDS SCOPING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</si>
</sst>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i/>
      <sz val="10.0"/>
      <color theme="1"/>
      <name val="Arial"/>
      <scheme val="minor"/>
    </font>
    <font>
      <u/>
      <sz val="10.0"/>
      <color rgb="FF0000FF"/>
    </font>
    <font>
      <u/>
      <sz val="10.0"/>
      <color rgb="FF000000"/>
    </font>
    <font>
      <u/>
      <sz val="10.0"/>
      <color rgb="FF000000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FFFFFF"/>
        <bgColor rgb="FFFFFFFF"/>
      </patternFill>
    </fill>
    <fill>
      <patternFill patternType="solid">
        <fgColor rgb="FF27AE60"/>
        <bgColor rgb="FF27AE60"/>
      </patternFill>
    </fill>
    <fill>
      <patternFill patternType="solid">
        <fgColor rgb="FF4A86E8"/>
        <bgColor rgb="FF4A86E8"/>
      </patternFill>
    </fill>
    <fill>
      <patternFill patternType="solid">
        <fgColor rgb="FF2980B9"/>
        <bgColor rgb="FF2980B9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3" fontId="6" numFmtId="0" xfId="0" applyAlignment="1" applyFill="1" applyFont="1">
      <alignment readingOrder="0" shrinkToFit="0" vertical="top" wrapText="1"/>
    </xf>
    <xf borderId="0" fillId="3" fontId="0" numFmtId="0" xfId="0" applyAlignment="1" applyFont="1">
      <alignment readingOrder="0" shrinkToFit="0" vertical="top" wrapText="1"/>
    </xf>
    <xf borderId="0" fillId="3" fontId="0" numFmtId="164" xfId="0" applyAlignment="1" applyFont="1" applyNumberFormat="1">
      <alignment readingOrder="0" shrinkToFit="0" vertical="top" wrapText="1"/>
    </xf>
    <xf borderId="0" fillId="3" fontId="0" numFmtId="0" xfId="0" applyAlignment="1" applyFont="1">
      <alignment readingOrder="0" shrinkToFit="0" vertical="top" wrapText="1"/>
    </xf>
    <xf borderId="0" fillId="3" fontId="0" numFmtId="0" xfId="0" applyAlignment="1" applyFont="1">
      <alignment shrinkToFit="0" vertical="top" wrapText="1"/>
    </xf>
    <xf borderId="0" fillId="3" fontId="7" numFmtId="0" xfId="0" applyAlignment="1" applyFont="1">
      <alignment shrinkToFit="0" vertical="top" wrapText="1"/>
    </xf>
    <xf borderId="0" fillId="4" fontId="1" numFmtId="0" xfId="0" applyAlignment="1" applyFill="1" applyFont="1">
      <alignment readingOrder="0" shrinkToFit="0" vertical="top" wrapText="1"/>
    </xf>
    <xf borderId="0" fillId="4" fontId="1" numFmtId="0" xfId="0" applyAlignment="1" applyFont="1">
      <alignment shrinkToFit="0" vertical="top" wrapText="1"/>
    </xf>
    <xf borderId="0" fillId="5" fontId="8" numFmtId="0" xfId="0" applyFill="1" applyFont="1"/>
    <xf borderId="0" fillId="6" fontId="1" numFmtId="0" xfId="0" applyAlignment="1" applyFill="1" applyFont="1">
      <alignment readingOrder="0" shrinkToFit="0" vertical="top" wrapText="1"/>
    </xf>
    <xf borderId="0" fillId="6" fontId="1" numFmtId="0" xfId="0" applyAlignment="1" applyFont="1">
      <alignment shrinkToFit="0" vertical="top" wrapText="1"/>
    </xf>
    <xf borderId="0" fillId="7" fontId="1" numFmtId="0" xfId="0" applyAlignment="1" applyFill="1" applyFont="1">
      <alignment readingOrder="0" shrinkToFit="0" vertical="top" wrapText="1"/>
    </xf>
    <xf borderId="0" fillId="7" fontId="1" numFmtId="0" xfId="0" applyAlignment="1" applyFont="1">
      <alignment shrinkToFit="0" vertical="top" wrapText="1"/>
    </xf>
    <xf borderId="0" fillId="8" fontId="1" numFmtId="0" xfId="0" applyAlignment="1" applyFill="1" applyFont="1">
      <alignment readingOrder="0" shrinkToFit="0" vertical="top" wrapText="1"/>
    </xf>
    <xf borderId="0" fillId="8" fontId="1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AD7A0"/>
          <bgColor rgb="FFFAD7A0"/>
        </patternFill>
      </fill>
      <border/>
    </dxf>
    <dxf>
      <font/>
      <fill>
        <patternFill patternType="solid">
          <fgColor rgb="FFD6EAF8"/>
          <bgColor rgb="FFD6EAF8"/>
        </patternFill>
      </fill>
      <border/>
    </dxf>
    <dxf>
      <font/>
      <fill>
        <patternFill patternType="solid">
          <fgColor rgb="FFD5F5E3"/>
          <bgColor rgb="FFD5F5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GV8Xv7dDXNg0UQntEAC95VrJ6E5SzrKtxTxhfiOp6mQ/edit?tab=t.0" TargetMode="External"/><Relationship Id="rId2" Type="http://schemas.openxmlformats.org/officeDocument/2006/relationships/hyperlink" Target="https://docs.google.com/document/d/1-kd7FJIZwu7apyGXaUdBDGKdhX1a-pTNPdfUrC5sj-Q/edit?tab=t.0" TargetMode="External"/><Relationship Id="rId3" Type="http://schemas.openxmlformats.org/officeDocument/2006/relationships/hyperlink" Target="https://docs.google.com/document/d/1-kd7FJIZwu7apyGXaUdBDGKdhX1a-pTNPdfUrC5sj-Q/edit?tab=t.0" TargetMode="External"/><Relationship Id="rId4" Type="http://schemas.openxmlformats.org/officeDocument/2006/relationships/hyperlink" Target="https://docs.google.com/document/d/1-kd7FJIZwu7apyGXaUdBDGKdhX1a-pTNPdfUrC5sj-Q/edit?tab=t.0" TargetMode="External"/><Relationship Id="rId5" Type="http://schemas.openxmlformats.org/officeDocument/2006/relationships/hyperlink" Target="https://docs.google.com/document/d/1-kd7FJIZwu7apyGXaUdBDGKdhX1a-pTNPdfUrC5sj-Q/edit?tab=t.0" TargetMode="External"/><Relationship Id="rId6" Type="http://schemas.openxmlformats.org/officeDocument/2006/relationships/hyperlink" Target="https://docs.google.com/document/d/1-kd7FJIZwu7apyGXaUdBDGKdhX1a-pTNPdfUrC5sj-Q/edit?tab=t.0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6.75"/>
    <col customWidth="1" min="3" max="3" width="18.75"/>
    <col customWidth="1" min="4" max="4" width="26.38"/>
    <col customWidth="1" min="5" max="5" width="41.38"/>
    <col customWidth="1" min="6" max="6" width="4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tr">
        <f>HYPERLINK("https://redhat.atlassian.net/browse/HATSTRAT-314","HATSTRAT-314")</f>
        <v>HATSTRAT-314</v>
      </c>
      <c r="D2" s="4" t="s">
        <v>8</v>
      </c>
      <c r="E2" s="2" t="s">
        <v>9</v>
      </c>
      <c r="F2" s="5" t="s">
        <v>10</v>
      </c>
    </row>
    <row r="3">
      <c r="A3" s="2" t="s">
        <v>11</v>
      </c>
      <c r="B3" s="2" t="s">
        <v>12</v>
      </c>
      <c r="C3" s="3" t="str">
        <f>HYPERLINK("https://redhat.atlassian.net/browse/HATSTRAT-315","HATSTRAT-315")</f>
        <v>HATSTRAT-315</v>
      </c>
      <c r="D3" s="4" t="s">
        <v>13</v>
      </c>
      <c r="E3" s="2" t="s">
        <v>14</v>
      </c>
      <c r="F3" s="5" t="s">
        <v>15</v>
      </c>
    </row>
    <row r="4">
      <c r="A4" s="2" t="s">
        <v>16</v>
      </c>
      <c r="B4" s="2" t="s">
        <v>17</v>
      </c>
      <c r="C4" s="3" t="str">
        <f>HYPERLINK("https://redhat.atlassian.net/browse/HATSTRAT-316","HATSTRAT-316")</f>
        <v>HATSTRAT-316</v>
      </c>
      <c r="D4" s="4" t="s">
        <v>18</v>
      </c>
      <c r="E4" s="2" t="s">
        <v>19</v>
      </c>
      <c r="F4" s="5" t="s">
        <v>20</v>
      </c>
    </row>
    <row r="5">
      <c r="A5" s="2" t="s">
        <v>21</v>
      </c>
      <c r="B5" s="2" t="s">
        <v>22</v>
      </c>
      <c r="C5" s="3" t="str">
        <f>HYPERLINK("https://redhat.atlassian.net/browse/HATSTRAT-317","HATSTRAT-317")</f>
        <v>HATSTRAT-317</v>
      </c>
      <c r="D5" s="4" t="s">
        <v>23</v>
      </c>
      <c r="E5" s="2" t="s">
        <v>24</v>
      </c>
      <c r="F5" s="5" t="s">
        <v>25</v>
      </c>
    </row>
    <row r="6">
      <c r="A6" s="2" t="s">
        <v>26</v>
      </c>
      <c r="B6" s="2" t="s">
        <v>27</v>
      </c>
      <c r="C6" s="3" t="str">
        <f>HYPERLINK("https://redhat.atlassian.net/browse/HATSTRAT-318","HATSTRAT-318")</f>
        <v>HATSTRAT-318</v>
      </c>
      <c r="D6" s="4" t="s">
        <v>28</v>
      </c>
      <c r="E6" s="2" t="s">
        <v>29</v>
      </c>
      <c r="F6" s="5" t="s">
        <v>30</v>
      </c>
    </row>
    <row r="7">
      <c r="A7" s="6"/>
      <c r="B7" s="6"/>
      <c r="C7" s="6"/>
      <c r="D7" s="6"/>
      <c r="E7" s="6"/>
      <c r="F7" s="6"/>
    </row>
    <row r="8">
      <c r="A8" s="6"/>
      <c r="B8" s="2" t="s">
        <v>31</v>
      </c>
      <c r="C8" s="6"/>
      <c r="D8" s="6"/>
      <c r="E8" s="6"/>
      <c r="F8" s="5" t="s">
        <v>32</v>
      </c>
    </row>
  </sheetData>
  <hyperlinks>
    <hyperlink r:id="rId1" location="heading=h.a8369bjmusl2" ref="F2"/>
    <hyperlink r:id="rId2" location="bookmark=id.dexatoa69m1o" ref="F3"/>
    <hyperlink r:id="rId3" location="bookmark=id.s1cf40s1rqpm" ref="F4"/>
    <hyperlink r:id="rId4" location="bookmark=id.tfcgmtr5v96p" ref="F5"/>
    <hyperlink r:id="rId5" location="bookmark=id.uu4q8o7f6zkw" ref="F6"/>
    <hyperlink r:id="rId6" location="heading=h.bdrtqk5xyths" ref="F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19.0"/>
    <col customWidth="1" min="3" max="3" width="15.75"/>
    <col customWidth="1" min="5" max="5" width="24.5"/>
    <col customWidth="1" min="6" max="6" width="38.88"/>
  </cols>
  <sheetData>
    <row r="1">
      <c r="A1" s="7" t="s">
        <v>33</v>
      </c>
      <c r="B1" s="7" t="s">
        <v>34</v>
      </c>
      <c r="C1" s="7" t="s">
        <v>35</v>
      </c>
      <c r="D1" s="7" t="s">
        <v>36</v>
      </c>
      <c r="E1" s="7"/>
      <c r="F1" s="7"/>
    </row>
    <row r="2">
      <c r="A2" s="8" t="str">
        <f>HYPERLINK("https://redhat.atlassian.net/browse/HATSTRAT-314","T1: BYOA")</f>
        <v>T1: BYOA</v>
      </c>
      <c r="B2" s="9">
        <v>5.0</v>
      </c>
      <c r="C2" s="9">
        <v>22.0</v>
      </c>
      <c r="D2" s="9">
        <v>23.0</v>
      </c>
      <c r="E2" s="9"/>
      <c r="F2" s="10"/>
    </row>
    <row r="3">
      <c r="A3" s="8" t="str">
        <f>HYPERLINK("https://redhat.atlassian.net/browse/HATSTRAT-315","T2: One API")</f>
        <v>T2: One API</v>
      </c>
      <c r="B3" s="9">
        <v>10.0</v>
      </c>
      <c r="C3" s="9">
        <v>49.0</v>
      </c>
      <c r="D3" s="9">
        <v>56.0</v>
      </c>
      <c r="E3" s="9"/>
      <c r="F3" s="10"/>
    </row>
    <row r="4">
      <c r="A4" s="8" t="str">
        <f>HYPERLINK("https://redhat.atlassian.net/browse/HATSTRAT-316","T3: Tools to Swarms")</f>
        <v>T3: Tools to Swarms</v>
      </c>
      <c r="B4" s="9">
        <v>5.0</v>
      </c>
      <c r="C4" s="9">
        <v>16.0</v>
      </c>
      <c r="D4" s="9">
        <v>18.0</v>
      </c>
      <c r="E4" s="9"/>
      <c r="F4" s="10"/>
    </row>
    <row r="5">
      <c r="A5" s="8" t="str">
        <f>HYPERLINK("https://redhat.atlassian.net/browse/HATSTRAT-317","T4: Inference")</f>
        <v>T4: Inference</v>
      </c>
      <c r="B5" s="9">
        <v>2.0</v>
      </c>
      <c r="C5" s="9">
        <v>3.0</v>
      </c>
      <c r="D5" s="9">
        <v>4.0</v>
      </c>
      <c r="E5" s="9"/>
      <c r="F5" s="10"/>
    </row>
    <row r="6">
      <c r="A6" s="8" t="str">
        <f>HYPERLINK("https://redhat.atlassian.net/browse/HATSTRAT-318","T5: First Agent")</f>
        <v>T5: First Agent</v>
      </c>
      <c r="B6" s="9">
        <v>3.0</v>
      </c>
      <c r="C6" s="9">
        <v>25.0</v>
      </c>
      <c r="D6" s="9">
        <v>18.0</v>
      </c>
      <c r="E6" s="9"/>
      <c r="F6" s="10"/>
    </row>
    <row r="7">
      <c r="A7" s="9" t="s">
        <v>37</v>
      </c>
      <c r="B7" s="9"/>
      <c r="C7" s="9">
        <v>12.0</v>
      </c>
      <c r="D7" s="9">
        <v>9.0</v>
      </c>
      <c r="E7" s="9"/>
      <c r="F7" s="10"/>
    </row>
    <row r="8">
      <c r="A8" s="9" t="s">
        <v>38</v>
      </c>
      <c r="B8" s="9">
        <v>25.0</v>
      </c>
      <c r="C8" s="9">
        <v>127.0</v>
      </c>
      <c r="D8" s="9"/>
      <c r="E8" s="9"/>
      <c r="F8" s="1"/>
    </row>
    <row r="9">
      <c r="A9" s="9"/>
      <c r="B9" s="9"/>
      <c r="C9" s="9"/>
      <c r="D9" s="9">
        <v>128.0</v>
      </c>
      <c r="E9" s="9"/>
      <c r="F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58.63"/>
    <col customWidth="1" min="3" max="3" width="55.0"/>
    <col customWidth="1" min="4" max="4" width="23.88"/>
    <col customWidth="1" min="6" max="6" width="46.63"/>
    <col customWidth="1" min="7" max="7" width="24.0"/>
  </cols>
  <sheetData>
    <row r="1">
      <c r="A1" s="7" t="s">
        <v>39</v>
      </c>
      <c r="B1" s="7" t="s">
        <v>40</v>
      </c>
      <c r="C1" s="7" t="s">
        <v>41</v>
      </c>
      <c r="D1" s="7" t="s">
        <v>33</v>
      </c>
      <c r="E1" s="7" t="s">
        <v>42</v>
      </c>
      <c r="F1" s="7"/>
      <c r="G1" s="7"/>
    </row>
    <row r="2">
      <c r="A2" s="8" t="str">
        <f>HYPERLINK("https://redhat.atlassian.net/browse/RHAISTRAT-1345","RHAISTRAT-1345")</f>
        <v>RHAISTRAT-1345</v>
      </c>
      <c r="B2" s="9" t="s">
        <v>43</v>
      </c>
      <c r="C2" s="9" t="s">
        <v>44</v>
      </c>
      <c r="D2" s="9" t="s">
        <v>6</v>
      </c>
      <c r="E2" s="9">
        <v>0.0</v>
      </c>
      <c r="F2" s="9"/>
      <c r="G2" s="9"/>
    </row>
    <row r="3">
      <c r="A3" s="8" t="str">
        <f>HYPERLINK("https://redhat.atlassian.net/browse/RHAISTRAT-155","RHAISTRAT-155")</f>
        <v>RHAISTRAT-155</v>
      </c>
      <c r="B3" s="9" t="s">
        <v>45</v>
      </c>
      <c r="C3" s="9" t="s">
        <v>46</v>
      </c>
      <c r="D3" s="9" t="s">
        <v>6</v>
      </c>
      <c r="E3" s="9">
        <v>8.0</v>
      </c>
      <c r="F3" s="9"/>
      <c r="G3" s="9"/>
    </row>
    <row r="4">
      <c r="A4" s="8" t="str">
        <f>HYPERLINK("https://redhat.atlassian.net/browse/RHAISTRAT-197","RHAISTRAT-197")</f>
        <v>RHAISTRAT-197</v>
      </c>
      <c r="B4" s="9" t="s">
        <v>47</v>
      </c>
      <c r="C4" s="9" t="s">
        <v>46</v>
      </c>
      <c r="D4" s="9" t="s">
        <v>6</v>
      </c>
      <c r="E4" s="9">
        <v>2.0</v>
      </c>
      <c r="F4" s="9"/>
      <c r="G4" s="9"/>
    </row>
    <row r="5">
      <c r="A5" s="8" t="str">
        <f>HYPERLINK("https://redhat.atlassian.net/browse/RHAISTRAT-1344","RHAISTRAT-1344")</f>
        <v>RHAISTRAT-1344</v>
      </c>
      <c r="B5" s="9" t="s">
        <v>48</v>
      </c>
      <c r="C5" s="9" t="s">
        <v>46</v>
      </c>
      <c r="D5" s="9" t="s">
        <v>6</v>
      </c>
      <c r="E5" s="9">
        <v>5.0</v>
      </c>
      <c r="F5" s="9"/>
      <c r="G5" s="9"/>
    </row>
    <row r="6">
      <c r="A6" s="8" t="str">
        <f>HYPERLINK("https://redhat.atlassian.net/browse/RHAISTRAT-1211","RHAISTRAT-1211")</f>
        <v>RHAISTRAT-1211</v>
      </c>
      <c r="B6" s="11" t="s">
        <v>49</v>
      </c>
      <c r="C6" s="9" t="s">
        <v>46</v>
      </c>
      <c r="D6" s="9" t="s">
        <v>6</v>
      </c>
      <c r="E6" s="9">
        <v>7.0</v>
      </c>
      <c r="F6" s="9"/>
      <c r="G6" s="9"/>
    </row>
    <row r="7">
      <c r="A7" s="8" t="str">
        <f>HYPERLINK("https://redhat.atlassian.net/browse/RHAISTRAT-1346","RHAISTRAT-1346")</f>
        <v>RHAISTRAT-1346</v>
      </c>
      <c r="B7" s="9" t="s">
        <v>50</v>
      </c>
      <c r="C7" s="9" t="s">
        <v>46</v>
      </c>
      <c r="D7" s="9" t="s">
        <v>11</v>
      </c>
      <c r="E7" s="9">
        <v>1.0</v>
      </c>
      <c r="F7" s="9"/>
      <c r="G7" s="9"/>
    </row>
    <row r="8">
      <c r="A8" s="8" t="str">
        <f>HYPERLINK("https://redhat.atlassian.net/browse/RHAISTRAT-1347","RHAISTRAT-1347")</f>
        <v>RHAISTRAT-1347</v>
      </c>
      <c r="B8" s="9" t="s">
        <v>51</v>
      </c>
      <c r="C8" s="9" t="s">
        <v>46</v>
      </c>
      <c r="D8" s="9" t="s">
        <v>11</v>
      </c>
      <c r="E8" s="9">
        <v>2.0</v>
      </c>
      <c r="F8" s="9"/>
      <c r="G8" s="9"/>
    </row>
    <row r="9">
      <c r="A9" s="8" t="str">
        <f>HYPERLINK("https://redhat.atlassian.net/browse/RHAISTRAT-1073","RHAISTRAT-1073")</f>
        <v>RHAISTRAT-1073</v>
      </c>
      <c r="B9" s="9" t="s">
        <v>52</v>
      </c>
      <c r="C9" s="9" t="s">
        <v>46</v>
      </c>
      <c r="D9" s="9" t="s">
        <v>11</v>
      </c>
      <c r="E9" s="9">
        <v>13.0</v>
      </c>
      <c r="F9" s="9"/>
      <c r="G9" s="9"/>
    </row>
    <row r="10">
      <c r="A10" s="8" t="str">
        <f>HYPERLINK("https://redhat.atlassian.net/browse/RHAISTRAT-206","RHAISTRAT-206")</f>
        <v>RHAISTRAT-206</v>
      </c>
      <c r="B10" s="9" t="s">
        <v>53</v>
      </c>
      <c r="C10" s="9" t="s">
        <v>46</v>
      </c>
      <c r="D10" s="9" t="s">
        <v>11</v>
      </c>
      <c r="E10" s="9">
        <v>2.0</v>
      </c>
      <c r="F10" s="9"/>
      <c r="G10" s="9"/>
    </row>
    <row r="11">
      <c r="A11" s="8" t="str">
        <f>HYPERLINK("https://redhat.atlassian.net/browse/RHAISTRAT-1348","RHAISTRAT-1348")</f>
        <v>RHAISTRAT-1348</v>
      </c>
      <c r="B11" s="9" t="s">
        <v>54</v>
      </c>
      <c r="C11" s="9" t="s">
        <v>44</v>
      </c>
      <c r="D11" s="9" t="s">
        <v>11</v>
      </c>
      <c r="E11" s="9">
        <v>0.0</v>
      </c>
      <c r="F11" s="9"/>
      <c r="G11" s="9"/>
    </row>
    <row r="12">
      <c r="A12" s="8" t="str">
        <f>HYPERLINK("https://redhat.atlassian.net/browse/RHAISTRAT-1352","RHAISTRAT-1352")</f>
        <v>RHAISTRAT-1352</v>
      </c>
      <c r="B12" s="9" t="s">
        <v>55</v>
      </c>
      <c r="C12" s="9" t="s">
        <v>46</v>
      </c>
      <c r="D12" s="9" t="s">
        <v>11</v>
      </c>
      <c r="E12" s="9">
        <v>3.0</v>
      </c>
      <c r="F12" s="9"/>
      <c r="G12" s="9"/>
    </row>
    <row r="13">
      <c r="A13" s="8" t="str">
        <f>HYPERLINK("https://redhat.atlassian.net/browse/RHAISTRAT-1353","RHAISTRAT-1353")</f>
        <v>RHAISTRAT-1353</v>
      </c>
      <c r="B13" s="9" t="s">
        <v>56</v>
      </c>
      <c r="C13" s="9" t="s">
        <v>46</v>
      </c>
      <c r="D13" s="9" t="s">
        <v>11</v>
      </c>
      <c r="E13" s="9">
        <v>16.0</v>
      </c>
      <c r="F13" s="9"/>
      <c r="G13" s="9"/>
    </row>
    <row r="14">
      <c r="A14" s="8" t="str">
        <f>HYPERLINK("https://redhat.atlassian.net/browse/RHAISTRAT-1351","RHAISTRAT-1351")</f>
        <v>RHAISTRAT-1351</v>
      </c>
      <c r="B14" s="9" t="s">
        <v>57</v>
      </c>
      <c r="C14" s="9" t="s">
        <v>46</v>
      </c>
      <c r="D14" s="9" t="s">
        <v>11</v>
      </c>
      <c r="E14" s="9">
        <v>4.0</v>
      </c>
      <c r="F14" s="9"/>
      <c r="G14" s="9"/>
    </row>
    <row r="15">
      <c r="A15" s="8" t="str">
        <f>HYPERLINK("https://redhat.atlassian.net/browse/RHAISTRAT-1350","RHAISTRAT-1350")</f>
        <v>RHAISTRAT-1350</v>
      </c>
      <c r="B15" s="9" t="s">
        <v>58</v>
      </c>
      <c r="C15" s="9" t="s">
        <v>46</v>
      </c>
      <c r="D15" s="9" t="s">
        <v>11</v>
      </c>
      <c r="E15" s="9">
        <v>4.0</v>
      </c>
      <c r="F15" s="9"/>
      <c r="G15" s="9"/>
    </row>
    <row r="16">
      <c r="A16" s="8" t="str">
        <f>HYPERLINK("https://redhat.atlassian.net/browse/RHAISTRAT-1349","RHAISTRAT-1349")</f>
        <v>RHAISTRAT-1349</v>
      </c>
      <c r="B16" s="9" t="s">
        <v>59</v>
      </c>
      <c r="C16" s="9" t="s">
        <v>44</v>
      </c>
      <c r="D16" s="9" t="s">
        <v>11</v>
      </c>
      <c r="E16" s="9">
        <v>4.0</v>
      </c>
      <c r="F16" s="9"/>
      <c r="G16" s="9"/>
    </row>
    <row r="17">
      <c r="A17" s="8" t="str">
        <f>HYPERLINK("https://redhat.atlassian.net/browse/RHAISTRAT-1355","RHAISTRAT-1355")</f>
        <v>RHAISTRAT-1355</v>
      </c>
      <c r="B17" s="9" t="s">
        <v>60</v>
      </c>
      <c r="C17" s="9" t="s">
        <v>46</v>
      </c>
      <c r="D17" s="9" t="s">
        <v>16</v>
      </c>
      <c r="E17" s="9">
        <v>6.0</v>
      </c>
      <c r="F17" s="9"/>
      <c r="G17" s="9"/>
    </row>
    <row r="18">
      <c r="A18" s="8" t="str">
        <f>HYPERLINK("https://redhat.atlassian.net/browse/RHAISTRAT-1101","RHAISTRAT-1101")</f>
        <v>RHAISTRAT-1101</v>
      </c>
      <c r="B18" s="9" t="s">
        <v>61</v>
      </c>
      <c r="C18" s="9" t="s">
        <v>46</v>
      </c>
      <c r="D18" s="9" t="s">
        <v>16</v>
      </c>
      <c r="E18" s="9">
        <v>3.0</v>
      </c>
      <c r="F18" s="9"/>
      <c r="G18" s="9"/>
    </row>
    <row r="19">
      <c r="A19" s="8" t="str">
        <f>HYPERLINK("https://redhat.atlassian.net/browse/RHAISTRAT-1354","RHAISTRAT-1354")</f>
        <v>RHAISTRAT-1354</v>
      </c>
      <c r="B19" s="9" t="s">
        <v>62</v>
      </c>
      <c r="C19" s="9" t="s">
        <v>46</v>
      </c>
      <c r="D19" s="9" t="s">
        <v>16</v>
      </c>
      <c r="E19" s="9">
        <v>2.0</v>
      </c>
      <c r="F19" s="9"/>
      <c r="G19" s="9"/>
    </row>
    <row r="20">
      <c r="A20" s="8" t="str">
        <f>HYPERLINK("https://redhat.atlassian.net/browse/RHAISTRAT-1339","RHAISTRAT-1339")</f>
        <v>RHAISTRAT-1339</v>
      </c>
      <c r="B20" s="9" t="s">
        <v>63</v>
      </c>
      <c r="C20" s="9" t="s">
        <v>46</v>
      </c>
      <c r="D20" s="9" t="s">
        <v>16</v>
      </c>
      <c r="E20" s="9">
        <v>4.0</v>
      </c>
      <c r="F20" s="9"/>
      <c r="G20" s="9"/>
    </row>
    <row r="21">
      <c r="A21" s="8" t="str">
        <f>HYPERLINK("https://redhat.atlassian.net/browse/RHAISTRAT-932","RHAISTRAT-932")</f>
        <v>RHAISTRAT-932</v>
      </c>
      <c r="B21" s="9" t="s">
        <v>64</v>
      </c>
      <c r="C21" s="9" t="s">
        <v>46</v>
      </c>
      <c r="D21" s="9" t="s">
        <v>16</v>
      </c>
      <c r="E21" s="9">
        <v>1.0</v>
      </c>
      <c r="F21" s="9"/>
      <c r="G21" s="9"/>
    </row>
    <row r="22">
      <c r="A22" s="8" t="str">
        <f>HYPERLINK("https://redhat.atlassian.net/browse/RHAISTRAT-947","RHAISTRAT-947")</f>
        <v>RHAISTRAT-947</v>
      </c>
      <c r="B22" s="9" t="s">
        <v>65</v>
      </c>
      <c r="C22" s="9" t="s">
        <v>46</v>
      </c>
      <c r="D22" s="9" t="s">
        <v>21</v>
      </c>
      <c r="E22" s="9">
        <v>2.0</v>
      </c>
      <c r="F22" s="9"/>
      <c r="G22" s="9"/>
    </row>
    <row r="23">
      <c r="A23" s="8" t="str">
        <f>HYPERLINK("https://redhat.atlassian.net/browse/RHAISTRAT-1357","RHAISTRAT-1357")</f>
        <v>RHAISTRAT-1357</v>
      </c>
      <c r="B23" s="9" t="s">
        <v>66</v>
      </c>
      <c r="C23" s="9" t="s">
        <v>46</v>
      </c>
      <c r="D23" s="9" t="s">
        <v>21</v>
      </c>
      <c r="E23" s="9">
        <v>1.0</v>
      </c>
      <c r="F23" s="9"/>
      <c r="G23" s="9"/>
    </row>
    <row r="24">
      <c r="A24" s="8" t="str">
        <f>HYPERLINK("https://redhat.atlassian.net/browse/RHAISTRAT-889","RHAISTRAT-889")</f>
        <v>RHAISTRAT-889</v>
      </c>
      <c r="B24" s="9" t="s">
        <v>67</v>
      </c>
      <c r="C24" s="9" t="s">
        <v>46</v>
      </c>
      <c r="D24" s="9" t="s">
        <v>26</v>
      </c>
      <c r="E24" s="9">
        <v>3.0</v>
      </c>
      <c r="F24" s="9"/>
      <c r="G24" s="9"/>
    </row>
    <row r="25">
      <c r="A25" s="8" t="str">
        <f>HYPERLINK("https://redhat.atlassian.net/browse/RHAISTRAT-1049","RHAISTRAT-1049")</f>
        <v>RHAISTRAT-1049</v>
      </c>
      <c r="B25" s="9" t="s">
        <v>68</v>
      </c>
      <c r="C25" s="9" t="s">
        <v>46</v>
      </c>
      <c r="D25" s="9" t="s">
        <v>26</v>
      </c>
      <c r="E25" s="9">
        <v>11.0</v>
      </c>
      <c r="F25" s="9"/>
      <c r="G25" s="9"/>
    </row>
    <row r="26">
      <c r="A26" s="8" t="str">
        <f>HYPERLINK("https://redhat.atlassian.net/browse/RHAISTRAT-919","RHAISTRAT-919")</f>
        <v>RHAISTRAT-919</v>
      </c>
      <c r="B26" s="9" t="s">
        <v>69</v>
      </c>
      <c r="C26" s="9" t="s">
        <v>46</v>
      </c>
      <c r="D26" s="9" t="s">
        <v>26</v>
      </c>
      <c r="E26" s="9">
        <v>11.0</v>
      </c>
      <c r="F26" s="9"/>
      <c r="G26" s="9"/>
    </row>
    <row r="27">
      <c r="A27" s="9"/>
      <c r="B27" s="9"/>
      <c r="C27" s="9"/>
      <c r="D27" s="9"/>
      <c r="E27" s="9"/>
      <c r="F27" s="9"/>
      <c r="G27" s="9"/>
    </row>
    <row r="28">
      <c r="A28" s="9"/>
      <c r="B28" s="9"/>
      <c r="C28" s="9"/>
      <c r="D28" s="9"/>
      <c r="E28" s="9"/>
      <c r="F28" s="9"/>
      <c r="G28" s="9"/>
    </row>
  </sheetData>
  <autoFilter ref="$A$1:$G$27">
    <sortState ref="A1:G27">
      <sortCondition descending="1" ref="A1:A27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5"/>
    <col customWidth="1" min="3" max="3" width="16.63"/>
    <col customWidth="1" min="4" max="4" width="21.0"/>
    <col customWidth="1" min="6" max="6" width="25.63"/>
    <col customWidth="1" min="7" max="7" width="34.75"/>
  </cols>
  <sheetData>
    <row r="1">
      <c r="A1" s="7" t="s">
        <v>39</v>
      </c>
      <c r="B1" s="7" t="s">
        <v>70</v>
      </c>
      <c r="C1" s="7" t="s">
        <v>71</v>
      </c>
      <c r="D1" s="7" t="s">
        <v>41</v>
      </c>
      <c r="E1" s="7" t="s">
        <v>72</v>
      </c>
      <c r="F1" s="7" t="s">
        <v>73</v>
      </c>
      <c r="G1" s="7" t="s">
        <v>74</v>
      </c>
      <c r="H1" s="7" t="s">
        <v>75</v>
      </c>
      <c r="I1" s="7" t="s">
        <v>76</v>
      </c>
      <c r="J1" s="7" t="s">
        <v>77</v>
      </c>
    </row>
    <row r="2">
      <c r="A2" s="8" t="str">
        <f>HYPERLINK("https://redhat.atlassian.net/browse/RHAIRFE-8","RHAIRFE-8")</f>
        <v>RHAIRFE-8</v>
      </c>
      <c r="B2" s="9" t="s">
        <v>78</v>
      </c>
      <c r="C2" s="9" t="s">
        <v>79</v>
      </c>
      <c r="D2" s="9" t="s">
        <v>80</v>
      </c>
      <c r="E2" s="9" t="s">
        <v>81</v>
      </c>
      <c r="F2" s="9" t="s">
        <v>82</v>
      </c>
      <c r="G2" s="9" t="s">
        <v>83</v>
      </c>
      <c r="H2" s="9" t="s">
        <v>84</v>
      </c>
      <c r="I2" s="9" t="s">
        <v>85</v>
      </c>
      <c r="J2" s="12"/>
    </row>
    <row r="3">
      <c r="A3" s="8" t="str">
        <f>HYPERLINK("https://redhat.atlassian.net/browse/RHAIRFE-108","RHAIRFE-108")</f>
        <v>RHAIRFE-108</v>
      </c>
      <c r="B3" s="9" t="s">
        <v>86</v>
      </c>
      <c r="C3" s="9" t="s">
        <v>79</v>
      </c>
      <c r="D3" s="9" t="s">
        <v>80</v>
      </c>
      <c r="E3" s="9" t="s">
        <v>87</v>
      </c>
      <c r="F3" s="9" t="s">
        <v>88</v>
      </c>
      <c r="G3" s="9" t="s">
        <v>83</v>
      </c>
      <c r="H3" s="9" t="s">
        <v>84</v>
      </c>
      <c r="I3" s="9" t="s">
        <v>85</v>
      </c>
      <c r="J3" s="12"/>
    </row>
    <row r="4">
      <c r="A4" s="8" t="str">
        <f>HYPERLINK("https://redhat.atlassian.net/browse/RHAIRFE-971","RHAIRFE-971")</f>
        <v>RHAIRFE-971</v>
      </c>
      <c r="B4" s="9" t="s">
        <v>89</v>
      </c>
      <c r="C4" s="9" t="s">
        <v>79</v>
      </c>
      <c r="D4" s="9" t="s">
        <v>90</v>
      </c>
      <c r="E4" s="9" t="s">
        <v>91</v>
      </c>
      <c r="F4" s="9" t="s">
        <v>88</v>
      </c>
      <c r="G4" s="9" t="s">
        <v>83</v>
      </c>
      <c r="H4" s="9" t="s">
        <v>84</v>
      </c>
      <c r="I4" s="9" t="s">
        <v>85</v>
      </c>
      <c r="J4" s="12"/>
    </row>
    <row r="5">
      <c r="A5" s="8" t="str">
        <f>HYPERLINK("https://redhat.atlassian.net/browse/RHAIRFE-1306","RHAIRFE-1306")</f>
        <v>RHAIRFE-1306</v>
      </c>
      <c r="B5" s="9" t="s">
        <v>92</v>
      </c>
      <c r="C5" s="9" t="s">
        <v>79</v>
      </c>
      <c r="D5" s="9" t="s">
        <v>80</v>
      </c>
      <c r="E5" s="9" t="s">
        <v>87</v>
      </c>
      <c r="F5" s="9" t="s">
        <v>93</v>
      </c>
      <c r="G5" s="9"/>
      <c r="H5" s="9" t="s">
        <v>94</v>
      </c>
      <c r="I5" s="9" t="s">
        <v>85</v>
      </c>
      <c r="J5" s="12"/>
    </row>
    <row r="6">
      <c r="A6" s="8" t="str">
        <f>HYPERLINK("https://redhat.atlassian.net/browse/RHAIRFE-1370","RHAIRFE-1370")</f>
        <v>RHAIRFE-1370</v>
      </c>
      <c r="B6" s="9" t="s">
        <v>95</v>
      </c>
      <c r="C6" s="9" t="s">
        <v>79</v>
      </c>
      <c r="D6" s="9" t="s">
        <v>80</v>
      </c>
      <c r="E6" s="9" t="s">
        <v>91</v>
      </c>
      <c r="F6" s="9" t="s">
        <v>96</v>
      </c>
      <c r="G6" s="9" t="s">
        <v>97</v>
      </c>
      <c r="H6" s="9" t="s">
        <v>98</v>
      </c>
      <c r="I6" s="9" t="s">
        <v>85</v>
      </c>
      <c r="J6" s="12"/>
    </row>
    <row r="7">
      <c r="A7" s="8" t="str">
        <f>HYPERLINK("https://redhat.atlassian.net/browse/RHAIRFE-1459","RHAIRFE-1459")</f>
        <v>RHAIRFE-1459</v>
      </c>
      <c r="B7" s="9" t="s">
        <v>99</v>
      </c>
      <c r="C7" s="9" t="s">
        <v>79</v>
      </c>
      <c r="D7" s="9" t="s">
        <v>44</v>
      </c>
      <c r="E7" s="9" t="s">
        <v>100</v>
      </c>
      <c r="F7" s="9" t="s">
        <v>101</v>
      </c>
      <c r="G7" s="9" t="s">
        <v>97</v>
      </c>
      <c r="H7" s="9" t="s">
        <v>94</v>
      </c>
      <c r="I7" s="9" t="s">
        <v>85</v>
      </c>
      <c r="J7" s="12"/>
    </row>
    <row r="8">
      <c r="A8" s="8" t="str">
        <f>HYPERLINK("https://redhat.atlassian.net/browse/RHAIRFE-1484","RHAIRFE-1484")</f>
        <v>RHAIRFE-1484</v>
      </c>
      <c r="B8" s="9" t="s">
        <v>102</v>
      </c>
      <c r="C8" s="9" t="s">
        <v>79</v>
      </c>
      <c r="D8" s="9" t="s">
        <v>80</v>
      </c>
      <c r="E8" s="9" t="s">
        <v>103</v>
      </c>
      <c r="F8" s="9" t="s">
        <v>104</v>
      </c>
      <c r="G8" s="9"/>
      <c r="H8" s="9" t="s">
        <v>98</v>
      </c>
      <c r="I8" s="9" t="s">
        <v>85</v>
      </c>
      <c r="J8" s="12"/>
    </row>
    <row r="9">
      <c r="A9" s="8" t="str">
        <f>HYPERLINK("https://redhat.atlassian.net/browse/RHAIRFE-1506","RHAIRFE-1506")</f>
        <v>RHAIRFE-1506</v>
      </c>
      <c r="B9" s="9" t="s">
        <v>105</v>
      </c>
      <c r="C9" s="9" t="s">
        <v>79</v>
      </c>
      <c r="D9" s="9" t="s">
        <v>80</v>
      </c>
      <c r="E9" s="9" t="s">
        <v>91</v>
      </c>
      <c r="F9" s="9" t="s">
        <v>106</v>
      </c>
      <c r="G9" s="9" t="s">
        <v>97</v>
      </c>
      <c r="H9" s="9" t="s">
        <v>94</v>
      </c>
      <c r="I9" s="9" t="s">
        <v>85</v>
      </c>
      <c r="J9" s="12"/>
    </row>
    <row r="10">
      <c r="A10" s="8" t="str">
        <f>HYPERLINK("https://redhat.atlassian.net/browse/RHAIRFE-1528","RHAIRFE-1528")</f>
        <v>RHAIRFE-1528</v>
      </c>
      <c r="B10" s="9" t="s">
        <v>107</v>
      </c>
      <c r="C10" s="9" t="s">
        <v>79</v>
      </c>
      <c r="D10" s="9" t="s">
        <v>44</v>
      </c>
      <c r="E10" s="9" t="s">
        <v>108</v>
      </c>
      <c r="F10" s="9" t="s">
        <v>109</v>
      </c>
      <c r="G10" s="9" t="s">
        <v>97</v>
      </c>
      <c r="H10" s="9" t="s">
        <v>98</v>
      </c>
      <c r="I10" s="9" t="s">
        <v>85</v>
      </c>
      <c r="J10" s="12"/>
    </row>
    <row r="11">
      <c r="A11" s="8" t="str">
        <f>HYPERLINK("https://redhat.atlassian.net/browse/RHAIRFE-1531","RHAIRFE-1531")</f>
        <v>RHAIRFE-1531</v>
      </c>
      <c r="B11" s="9" t="s">
        <v>110</v>
      </c>
      <c r="C11" s="9" t="s">
        <v>79</v>
      </c>
      <c r="D11" s="9" t="s">
        <v>80</v>
      </c>
      <c r="E11" s="9" t="s">
        <v>111</v>
      </c>
      <c r="F11" s="9" t="s">
        <v>112</v>
      </c>
      <c r="G11" s="9"/>
      <c r="H11" s="9" t="s">
        <v>94</v>
      </c>
      <c r="I11" s="9" t="s">
        <v>85</v>
      </c>
      <c r="J11" s="12"/>
    </row>
    <row r="12">
      <c r="A12" s="8" t="str">
        <f>HYPERLINK("https://redhat.atlassian.net/browse/RHAIRFE-1533","RHAIRFE-1533")</f>
        <v>RHAIRFE-1533</v>
      </c>
      <c r="B12" s="9" t="s">
        <v>113</v>
      </c>
      <c r="C12" s="9" t="s">
        <v>79</v>
      </c>
      <c r="D12" s="9" t="s">
        <v>80</v>
      </c>
      <c r="E12" s="9" t="s">
        <v>81</v>
      </c>
      <c r="F12" s="9" t="s">
        <v>114</v>
      </c>
      <c r="G12" s="9"/>
      <c r="H12" s="9" t="s">
        <v>94</v>
      </c>
      <c r="I12" s="9" t="s">
        <v>85</v>
      </c>
      <c r="J12" s="12"/>
    </row>
    <row r="13">
      <c r="A13" s="8" t="str">
        <f>HYPERLINK("https://redhat.atlassian.net/browse/RHAISTRAT-93","RHAISTRAT-93")</f>
        <v>RHAISTRAT-93</v>
      </c>
      <c r="B13" s="9" t="s">
        <v>115</v>
      </c>
      <c r="C13" s="9" t="s">
        <v>116</v>
      </c>
      <c r="D13" s="9" t="s">
        <v>117</v>
      </c>
      <c r="E13" s="9" t="s">
        <v>118</v>
      </c>
      <c r="F13" s="9" t="s">
        <v>119</v>
      </c>
      <c r="G13" s="9" t="s">
        <v>120</v>
      </c>
      <c r="H13" s="9" t="s">
        <v>94</v>
      </c>
      <c r="I13" s="9" t="s">
        <v>85</v>
      </c>
      <c r="J13" s="12"/>
    </row>
    <row r="14">
      <c r="A14" s="9"/>
      <c r="B14" s="9"/>
      <c r="C14" s="9"/>
      <c r="D14" s="9"/>
      <c r="E14" s="9"/>
      <c r="F14" s="9"/>
      <c r="G14" s="9"/>
      <c r="H14" s="9"/>
      <c r="I14" s="9" t="s">
        <v>121</v>
      </c>
      <c r="J14" s="12"/>
    </row>
    <row r="15">
      <c r="A15" s="9"/>
      <c r="B15" s="9"/>
      <c r="C15" s="9"/>
      <c r="D15" s="9"/>
      <c r="E15" s="9"/>
      <c r="F15" s="9"/>
      <c r="G15" s="9"/>
      <c r="H15" s="9"/>
      <c r="I15" s="9" t="s">
        <v>122</v>
      </c>
      <c r="J15" s="12"/>
    </row>
    <row r="16">
      <c r="A16" s="9"/>
      <c r="B16" s="9"/>
      <c r="C16" s="9"/>
      <c r="D16" s="9"/>
      <c r="E16" s="9"/>
      <c r="F16" s="9"/>
      <c r="G16" s="9"/>
      <c r="H16" s="9"/>
      <c r="I16" s="9" t="s">
        <v>123</v>
      </c>
      <c r="J16" s="12"/>
    </row>
    <row r="17">
      <c r="A17" s="9"/>
      <c r="B17" s="9"/>
      <c r="C17" s="9"/>
      <c r="D17" s="9"/>
      <c r="E17" s="9"/>
      <c r="F17" s="9"/>
      <c r="G17" s="9"/>
      <c r="H17" s="9"/>
      <c r="I17" s="9" t="s">
        <v>124</v>
      </c>
      <c r="J17" s="12"/>
    </row>
    <row r="18">
      <c r="A18" s="9"/>
      <c r="B18" s="9"/>
      <c r="C18" s="9"/>
      <c r="D18" s="9"/>
      <c r="E18" s="9"/>
      <c r="F18" s="9"/>
      <c r="G18" s="9"/>
      <c r="H18" s="9"/>
      <c r="I18" s="9" t="s">
        <v>125</v>
      </c>
      <c r="J18" s="12"/>
    </row>
    <row r="19">
      <c r="A19" s="9"/>
      <c r="B19" s="9"/>
      <c r="C19" s="9"/>
      <c r="D19" s="9"/>
      <c r="E19" s="9"/>
      <c r="F19" s="9"/>
      <c r="G19" s="9"/>
      <c r="H19" s="9"/>
      <c r="I19" s="9" t="s">
        <v>122</v>
      </c>
      <c r="J19" s="12"/>
    </row>
    <row r="20">
      <c r="A20" s="9"/>
      <c r="B20" s="9"/>
      <c r="C20" s="9"/>
      <c r="D20" s="9"/>
      <c r="E20" s="9"/>
      <c r="F20" s="9"/>
      <c r="G20" s="9"/>
      <c r="H20" s="9"/>
      <c r="I20" s="9" t="s">
        <v>126</v>
      </c>
      <c r="J20" s="12"/>
    </row>
    <row r="21">
      <c r="A21" s="9"/>
      <c r="B21" s="9"/>
      <c r="C21" s="9"/>
      <c r="D21" s="9"/>
      <c r="E21" s="9"/>
      <c r="F21" s="9"/>
      <c r="G21" s="9"/>
      <c r="H21" s="9"/>
      <c r="I21" s="9"/>
      <c r="J21" s="12"/>
    </row>
    <row r="22">
      <c r="A22" s="9"/>
      <c r="B22" s="9"/>
      <c r="C22" s="9"/>
      <c r="D22" s="9"/>
      <c r="E22" s="9"/>
      <c r="F22" s="9"/>
      <c r="G22" s="9"/>
      <c r="H22" s="9"/>
      <c r="I22" s="9"/>
      <c r="J22" s="12"/>
    </row>
    <row r="23">
      <c r="A23" s="9"/>
      <c r="B23" s="9"/>
      <c r="C23" s="9"/>
      <c r="D23" s="9"/>
      <c r="E23" s="9"/>
      <c r="F23" s="9"/>
      <c r="G23" s="9"/>
      <c r="H23" s="9"/>
      <c r="I23" s="9" t="s">
        <v>127</v>
      </c>
      <c r="J23" s="12"/>
    </row>
    <row r="24">
      <c r="A24" s="9"/>
      <c r="B24" s="9"/>
      <c r="C24" s="9"/>
      <c r="D24" s="9"/>
      <c r="E24" s="9"/>
      <c r="F24" s="9"/>
      <c r="G24" s="9"/>
      <c r="H24" s="9"/>
      <c r="I24" s="9" t="s">
        <v>122</v>
      </c>
      <c r="J24" s="12"/>
    </row>
    <row r="25">
      <c r="A25" s="9"/>
      <c r="B25" s="9"/>
      <c r="C25" s="9"/>
      <c r="D25" s="9"/>
      <c r="E25" s="9"/>
      <c r="F25" s="9"/>
      <c r="G25" s="9"/>
      <c r="H25" s="9"/>
      <c r="I25" s="9" t="s">
        <v>128</v>
      </c>
      <c r="J25" s="12"/>
    </row>
    <row r="26">
      <c r="A26" s="9"/>
      <c r="B26" s="9"/>
      <c r="C26" s="9"/>
      <c r="D26" s="9"/>
      <c r="E26" s="9"/>
      <c r="F26" s="9"/>
      <c r="G26" s="9"/>
      <c r="H26" s="9"/>
      <c r="I26" s="9" t="s">
        <v>129</v>
      </c>
      <c r="J26" s="12"/>
    </row>
    <row r="27">
      <c r="A27" s="9"/>
      <c r="B27" s="9"/>
      <c r="C27" s="9"/>
      <c r="D27" s="9"/>
      <c r="E27" s="9"/>
      <c r="F27" s="9"/>
      <c r="G27" s="9"/>
      <c r="H27" s="9"/>
      <c r="I27" s="9" t="s">
        <v>129</v>
      </c>
      <c r="J27" s="12"/>
    </row>
    <row r="28">
      <c r="A28" s="9"/>
      <c r="B28" s="9"/>
      <c r="C28" s="9"/>
      <c r="D28" s="9"/>
      <c r="E28" s="9"/>
      <c r="F28" s="9"/>
      <c r="G28" s="9"/>
      <c r="H28" s="9"/>
      <c r="I28" s="9" t="s">
        <v>125</v>
      </c>
      <c r="J28" s="12"/>
    </row>
    <row r="29">
      <c r="A29" s="9"/>
      <c r="B29" s="9"/>
      <c r="C29" s="9"/>
      <c r="D29" s="9"/>
      <c r="E29" s="9"/>
      <c r="F29" s="9"/>
      <c r="G29" s="9"/>
      <c r="H29" s="9"/>
      <c r="I29" s="9" t="s">
        <v>124</v>
      </c>
      <c r="J29" s="12"/>
    </row>
    <row r="30">
      <c r="A30" s="9"/>
      <c r="B30" s="9"/>
      <c r="C30" s="9"/>
      <c r="D30" s="9"/>
      <c r="E30" s="9"/>
      <c r="F30" s="9"/>
      <c r="G30" s="9"/>
      <c r="H30" s="9"/>
      <c r="I30" s="9" t="s">
        <v>130</v>
      </c>
      <c r="J30" s="12"/>
    </row>
    <row r="31">
      <c r="A31" s="9"/>
      <c r="B31" s="9"/>
      <c r="C31" s="9"/>
      <c r="D31" s="9"/>
      <c r="E31" s="9"/>
      <c r="F31" s="9"/>
      <c r="G31" s="9"/>
      <c r="H31" s="9"/>
      <c r="I31" s="9" t="s">
        <v>131</v>
      </c>
      <c r="J31" s="12"/>
    </row>
    <row r="32">
      <c r="A32" s="9"/>
      <c r="B32" s="9"/>
      <c r="C32" s="9"/>
      <c r="D32" s="9"/>
      <c r="E32" s="9"/>
      <c r="F32" s="9"/>
      <c r="G32" s="9"/>
      <c r="H32" s="9"/>
      <c r="I32" s="9" t="s">
        <v>128</v>
      </c>
      <c r="J32" s="12"/>
    </row>
    <row r="33">
      <c r="A33" s="9"/>
      <c r="B33" s="9"/>
      <c r="C33" s="9"/>
      <c r="D33" s="9"/>
      <c r="E33" s="9"/>
      <c r="F33" s="9"/>
      <c r="G33" s="9"/>
      <c r="H33" s="9"/>
      <c r="I33" s="9" t="s">
        <v>130</v>
      </c>
      <c r="J33" s="12"/>
    </row>
    <row r="34">
      <c r="A34" s="9"/>
      <c r="B34" s="9"/>
      <c r="C34" s="9"/>
      <c r="D34" s="9"/>
      <c r="E34" s="9"/>
      <c r="F34" s="9"/>
      <c r="G34" s="9"/>
      <c r="H34" s="9"/>
      <c r="I34" s="9" t="s">
        <v>129</v>
      </c>
      <c r="J34" s="12"/>
    </row>
    <row r="35">
      <c r="A35" s="9"/>
      <c r="B35" s="9"/>
      <c r="C35" s="9"/>
      <c r="D35" s="9"/>
      <c r="E35" s="9"/>
      <c r="F35" s="9"/>
      <c r="G35" s="9"/>
      <c r="H35" s="9"/>
      <c r="I35" s="9" t="s">
        <v>131</v>
      </c>
      <c r="J35" s="12"/>
    </row>
    <row r="36">
      <c r="A36" s="9"/>
      <c r="B36" s="9"/>
      <c r="C36" s="9"/>
      <c r="D36" s="9"/>
      <c r="E36" s="9"/>
      <c r="F36" s="9"/>
      <c r="G36" s="9"/>
      <c r="H36" s="9"/>
      <c r="I36" s="9" t="s">
        <v>122</v>
      </c>
      <c r="J36" s="12"/>
    </row>
    <row r="37">
      <c r="A37" s="9"/>
      <c r="B37" s="9"/>
      <c r="C37" s="9"/>
      <c r="D37" s="9"/>
      <c r="E37" s="9"/>
      <c r="F37" s="9"/>
      <c r="G37" s="9"/>
      <c r="H37" s="9"/>
      <c r="I37" s="9" t="s">
        <v>132</v>
      </c>
      <c r="J37" s="12"/>
    </row>
    <row r="38">
      <c r="A38" s="9"/>
      <c r="B38" s="9"/>
      <c r="C38" s="9"/>
      <c r="D38" s="9"/>
      <c r="E38" s="9"/>
      <c r="F38" s="9"/>
      <c r="G38" s="9"/>
      <c r="H38" s="9"/>
      <c r="I38" s="9" t="s">
        <v>130</v>
      </c>
      <c r="J38" s="12"/>
    </row>
    <row r="39">
      <c r="A39" s="9"/>
      <c r="B39" s="9"/>
      <c r="C39" s="9"/>
      <c r="D39" s="9"/>
      <c r="E39" s="9"/>
      <c r="F39" s="9"/>
      <c r="G39" s="9"/>
      <c r="H39" s="9"/>
      <c r="I39" s="9" t="s">
        <v>128</v>
      </c>
      <c r="J39" s="12"/>
    </row>
    <row r="40">
      <c r="A40" s="9"/>
      <c r="B40" s="9"/>
      <c r="C40" s="9"/>
      <c r="D40" s="9"/>
      <c r="E40" s="9"/>
      <c r="F40" s="9"/>
      <c r="G40" s="9"/>
      <c r="H40" s="9"/>
      <c r="I40" s="9"/>
      <c r="J40" s="12"/>
    </row>
    <row r="41">
      <c r="A41" s="9"/>
      <c r="B41" s="9"/>
      <c r="C41" s="9"/>
      <c r="D41" s="9"/>
      <c r="E41" s="9"/>
      <c r="F41" s="9"/>
      <c r="G41" s="9"/>
      <c r="H41" s="9"/>
      <c r="I41" s="9" t="s">
        <v>123</v>
      </c>
      <c r="J41" s="12"/>
    </row>
    <row r="42">
      <c r="A42" s="9"/>
      <c r="B42" s="9"/>
      <c r="C42" s="9"/>
      <c r="D42" s="9"/>
      <c r="E42" s="9"/>
      <c r="F42" s="9"/>
      <c r="G42" s="9"/>
      <c r="H42" s="9"/>
      <c r="I42" s="9" t="s">
        <v>125</v>
      </c>
      <c r="J42" s="12"/>
    </row>
    <row r="43">
      <c r="A43" s="9"/>
      <c r="B43" s="9"/>
      <c r="C43" s="9"/>
      <c r="D43" s="9"/>
      <c r="E43" s="9"/>
      <c r="F43" s="9"/>
      <c r="G43" s="9"/>
      <c r="H43" s="9"/>
      <c r="I43" s="9" t="s">
        <v>126</v>
      </c>
      <c r="J43" s="12"/>
    </row>
    <row r="44">
      <c r="A44" s="9"/>
      <c r="B44" s="9"/>
      <c r="C44" s="9"/>
      <c r="D44" s="9"/>
      <c r="E44" s="9"/>
      <c r="F44" s="9"/>
      <c r="G44" s="9"/>
      <c r="H44" s="9"/>
      <c r="I44" s="9" t="s">
        <v>133</v>
      </c>
      <c r="J44" s="12"/>
    </row>
    <row r="45">
      <c r="A45" s="9"/>
      <c r="B45" s="9"/>
      <c r="C45" s="9"/>
      <c r="D45" s="9"/>
      <c r="E45" s="9"/>
      <c r="F45" s="9"/>
      <c r="G45" s="9"/>
      <c r="H45" s="9"/>
      <c r="I45" s="9" t="s">
        <v>128</v>
      </c>
      <c r="J45" s="12"/>
    </row>
    <row r="46">
      <c r="A46" s="9"/>
      <c r="B46" s="9"/>
      <c r="C46" s="9"/>
      <c r="D46" s="9"/>
      <c r="E46" s="9"/>
      <c r="F46" s="9"/>
      <c r="G46" s="9"/>
      <c r="H46" s="9"/>
      <c r="I46" s="9" t="s">
        <v>128</v>
      </c>
      <c r="J46" s="12"/>
    </row>
    <row r="47">
      <c r="A47" s="9"/>
      <c r="B47" s="9"/>
      <c r="C47" s="9"/>
      <c r="D47" s="9"/>
      <c r="E47" s="9"/>
      <c r="F47" s="9"/>
      <c r="G47" s="9"/>
      <c r="H47" s="9"/>
      <c r="I47" s="9" t="s">
        <v>134</v>
      </c>
      <c r="J47" s="12"/>
    </row>
    <row r="48">
      <c r="A48" s="9"/>
      <c r="B48" s="9"/>
      <c r="C48" s="9"/>
      <c r="D48" s="9"/>
      <c r="E48" s="9"/>
      <c r="F48" s="9"/>
      <c r="G48" s="9"/>
      <c r="H48" s="9"/>
      <c r="I48" s="9" t="s">
        <v>134</v>
      </c>
      <c r="J48" s="12"/>
    </row>
    <row r="49">
      <c r="A49" s="9"/>
      <c r="B49" s="9"/>
      <c r="C49" s="9"/>
      <c r="D49" s="9"/>
      <c r="E49" s="9"/>
      <c r="F49" s="9"/>
      <c r="G49" s="9"/>
      <c r="H49" s="9"/>
      <c r="I49" s="9"/>
      <c r="J49" s="12"/>
    </row>
    <row r="50">
      <c r="A50" s="9"/>
      <c r="B50" s="9"/>
      <c r="C50" s="9"/>
      <c r="D50" s="9"/>
      <c r="E50" s="9"/>
      <c r="F50" s="9"/>
      <c r="G50" s="9"/>
      <c r="H50" s="9"/>
      <c r="I50" s="9" t="s">
        <v>133</v>
      </c>
      <c r="J50" s="12"/>
    </row>
    <row r="51">
      <c r="A51" s="9"/>
      <c r="B51" s="9"/>
      <c r="C51" s="9"/>
      <c r="D51" s="9"/>
      <c r="E51" s="9"/>
      <c r="F51" s="9"/>
      <c r="G51" s="9"/>
      <c r="H51" s="9"/>
      <c r="I51" s="9" t="s">
        <v>122</v>
      </c>
      <c r="J51" s="12"/>
    </row>
    <row r="52">
      <c r="A52" s="9"/>
      <c r="B52" s="9"/>
      <c r="C52" s="9"/>
      <c r="D52" s="9"/>
      <c r="E52" s="9"/>
      <c r="F52" s="9"/>
      <c r="G52" s="9"/>
      <c r="H52" s="9"/>
      <c r="I52" s="9" t="s">
        <v>126</v>
      </c>
      <c r="J52" s="12"/>
    </row>
    <row r="53">
      <c r="A53" s="9"/>
      <c r="B53" s="9"/>
      <c r="C53" s="9"/>
      <c r="D53" s="9"/>
      <c r="E53" s="9"/>
      <c r="F53" s="9"/>
      <c r="G53" s="9"/>
      <c r="H53" s="9"/>
      <c r="I53" s="9" t="s">
        <v>125</v>
      </c>
      <c r="J53" s="12"/>
    </row>
    <row r="54">
      <c r="A54" s="9"/>
      <c r="B54" s="9"/>
      <c r="C54" s="9"/>
      <c r="D54" s="9"/>
      <c r="E54" s="9"/>
      <c r="F54" s="9"/>
      <c r="G54" s="9"/>
      <c r="H54" s="9"/>
      <c r="I54" s="9" t="s">
        <v>133</v>
      </c>
      <c r="J54" s="12"/>
    </row>
    <row r="55">
      <c r="A55" s="9"/>
      <c r="B55" s="9"/>
      <c r="C55" s="9"/>
      <c r="D55" s="9"/>
      <c r="E55" s="9"/>
      <c r="F55" s="9"/>
      <c r="G55" s="9"/>
      <c r="H55" s="9"/>
      <c r="I55" s="9" t="s">
        <v>125</v>
      </c>
      <c r="J55" s="12"/>
    </row>
    <row r="56">
      <c r="A56" s="9"/>
      <c r="B56" s="9"/>
      <c r="C56" s="9"/>
      <c r="D56" s="9"/>
      <c r="E56" s="9"/>
      <c r="F56" s="9"/>
      <c r="G56" s="9"/>
      <c r="H56" s="9"/>
      <c r="I56" s="9" t="s">
        <v>124</v>
      </c>
      <c r="J56" s="12"/>
    </row>
    <row r="57">
      <c r="A57" s="9"/>
      <c r="B57" s="9"/>
      <c r="C57" s="9"/>
      <c r="D57" s="9"/>
      <c r="E57" s="9"/>
      <c r="F57" s="9"/>
      <c r="G57" s="9"/>
      <c r="H57" s="9"/>
      <c r="I57" s="9" t="s">
        <v>131</v>
      </c>
      <c r="J57" s="12"/>
    </row>
    <row r="58">
      <c r="A58" s="9"/>
      <c r="B58" s="9"/>
      <c r="C58" s="9"/>
      <c r="D58" s="9"/>
      <c r="E58" s="9"/>
      <c r="F58" s="9"/>
      <c r="G58" s="9"/>
      <c r="H58" s="9"/>
      <c r="I58" s="9" t="s">
        <v>129</v>
      </c>
      <c r="J58" s="12"/>
    </row>
    <row r="59">
      <c r="A59" s="9"/>
      <c r="B59" s="9"/>
      <c r="C59" s="9"/>
      <c r="D59" s="9"/>
      <c r="E59" s="9"/>
      <c r="F59" s="9"/>
      <c r="G59" s="9"/>
      <c r="H59" s="9"/>
      <c r="I59" s="9" t="s">
        <v>125</v>
      </c>
      <c r="J59" s="12"/>
    </row>
    <row r="60">
      <c r="A60" s="9"/>
      <c r="B60" s="9"/>
      <c r="C60" s="9"/>
      <c r="D60" s="9"/>
      <c r="E60" s="9"/>
      <c r="F60" s="9"/>
      <c r="G60" s="9"/>
      <c r="H60" s="9"/>
      <c r="I60" s="9" t="s">
        <v>124</v>
      </c>
      <c r="J60" s="12"/>
    </row>
    <row r="61">
      <c r="A61" s="9"/>
      <c r="B61" s="9"/>
      <c r="C61" s="9"/>
      <c r="D61" s="9"/>
      <c r="E61" s="9"/>
      <c r="F61" s="9"/>
      <c r="G61" s="9"/>
      <c r="H61" s="9"/>
      <c r="I61" s="9" t="s">
        <v>125</v>
      </c>
      <c r="J61" s="12"/>
    </row>
    <row r="62">
      <c r="A62" s="9"/>
      <c r="B62" s="9"/>
      <c r="C62" s="9"/>
      <c r="D62" s="9"/>
      <c r="E62" s="9"/>
      <c r="F62" s="9"/>
      <c r="G62" s="9"/>
      <c r="H62" s="9"/>
      <c r="I62" s="9"/>
      <c r="J62" s="12"/>
    </row>
    <row r="63">
      <c r="A63" s="9"/>
      <c r="B63" s="9"/>
      <c r="C63" s="9"/>
      <c r="D63" s="9"/>
      <c r="E63" s="9"/>
      <c r="F63" s="9"/>
      <c r="G63" s="9"/>
      <c r="H63" s="9"/>
      <c r="I63" s="9" t="s">
        <v>135</v>
      </c>
      <c r="J63" s="12"/>
    </row>
    <row r="64">
      <c r="A64" s="9"/>
      <c r="B64" s="9"/>
      <c r="C64" s="9"/>
      <c r="D64" s="9"/>
      <c r="E64" s="9"/>
      <c r="F64" s="9"/>
      <c r="G64" s="9"/>
      <c r="H64" s="9"/>
      <c r="I64" s="9" t="s">
        <v>135</v>
      </c>
      <c r="J64" s="12"/>
    </row>
    <row r="65">
      <c r="A65" s="9"/>
      <c r="B65" s="9"/>
      <c r="C65" s="9"/>
      <c r="D65" s="9"/>
      <c r="E65" s="9"/>
      <c r="F65" s="9"/>
      <c r="G65" s="9"/>
      <c r="H65" s="9"/>
      <c r="I65" s="9" t="s">
        <v>125</v>
      </c>
      <c r="J65" s="12"/>
    </row>
    <row r="66">
      <c r="A66" s="9"/>
      <c r="B66" s="9"/>
      <c r="C66" s="9"/>
      <c r="D66" s="9"/>
      <c r="E66" s="9"/>
      <c r="F66" s="9"/>
      <c r="G66" s="9"/>
      <c r="H66" s="9"/>
      <c r="I66" s="9"/>
      <c r="J66" s="12"/>
    </row>
    <row r="67">
      <c r="A67" s="9"/>
      <c r="B67" s="9"/>
      <c r="C67" s="9"/>
      <c r="D67" s="9"/>
      <c r="E67" s="9"/>
      <c r="F67" s="9"/>
      <c r="G67" s="9"/>
      <c r="H67" s="9"/>
      <c r="I67" s="9" t="s">
        <v>131</v>
      </c>
      <c r="J67" s="12"/>
    </row>
    <row r="68">
      <c r="A68" s="9"/>
      <c r="B68" s="9"/>
      <c r="C68" s="9"/>
      <c r="D68" s="9"/>
      <c r="E68" s="9"/>
      <c r="F68" s="9"/>
      <c r="G68" s="9"/>
      <c r="H68" s="9"/>
      <c r="I68" s="9" t="s">
        <v>125</v>
      </c>
      <c r="J68" s="12"/>
    </row>
    <row r="69">
      <c r="A69" s="9"/>
      <c r="B69" s="9"/>
      <c r="C69" s="9"/>
      <c r="D69" s="9"/>
      <c r="E69" s="9"/>
      <c r="F69" s="9"/>
      <c r="G69" s="9"/>
      <c r="H69" s="9"/>
      <c r="I69" s="9" t="s">
        <v>136</v>
      </c>
      <c r="J69" s="12"/>
    </row>
    <row r="70">
      <c r="A70" s="9"/>
      <c r="B70" s="9"/>
      <c r="C70" s="9"/>
      <c r="D70" s="9"/>
      <c r="E70" s="9"/>
      <c r="F70" s="9"/>
      <c r="G70" s="9"/>
      <c r="H70" s="9"/>
      <c r="I70" s="9"/>
      <c r="J70" s="12"/>
    </row>
    <row r="71">
      <c r="A71" s="9"/>
      <c r="B71" s="9"/>
      <c r="C71" s="9"/>
      <c r="D71" s="9"/>
      <c r="E71" s="9"/>
      <c r="F71" s="9"/>
      <c r="G71" s="9"/>
      <c r="H71" s="9"/>
      <c r="I71" s="9" t="s">
        <v>125</v>
      </c>
      <c r="J71" s="12"/>
    </row>
    <row r="72">
      <c r="A72" s="9"/>
      <c r="B72" s="9"/>
      <c r="C72" s="9"/>
      <c r="D72" s="9"/>
      <c r="E72" s="9"/>
      <c r="F72" s="9"/>
      <c r="G72" s="9"/>
      <c r="H72" s="9"/>
      <c r="I72" s="9" t="s">
        <v>123</v>
      </c>
      <c r="J72" s="12"/>
    </row>
    <row r="73">
      <c r="A73" s="9"/>
      <c r="B73" s="9"/>
      <c r="C73" s="9"/>
      <c r="D73" s="9"/>
      <c r="E73" s="9"/>
      <c r="F73" s="9"/>
      <c r="G73" s="9"/>
      <c r="H73" s="9"/>
      <c r="I73" s="9" t="s">
        <v>135</v>
      </c>
      <c r="J73" s="12"/>
    </row>
    <row r="74">
      <c r="A74" s="9"/>
      <c r="B74" s="9"/>
      <c r="C74" s="9"/>
      <c r="D74" s="9"/>
      <c r="E74" s="9"/>
      <c r="F74" s="9"/>
      <c r="G74" s="9"/>
      <c r="H74" s="9"/>
      <c r="I74" s="9" t="s">
        <v>136</v>
      </c>
      <c r="J74" s="12"/>
    </row>
    <row r="75">
      <c r="A75" s="9"/>
      <c r="B75" s="9"/>
      <c r="C75" s="9"/>
      <c r="D75" s="9"/>
      <c r="E75" s="9"/>
      <c r="F75" s="9"/>
      <c r="G75" s="9"/>
      <c r="H75" s="9"/>
      <c r="I75" s="9" t="s">
        <v>129</v>
      </c>
      <c r="J75" s="12"/>
    </row>
    <row r="76">
      <c r="A76" s="9"/>
      <c r="B76" s="9"/>
      <c r="C76" s="9"/>
      <c r="D76" s="9"/>
      <c r="E76" s="9"/>
      <c r="F76" s="9"/>
      <c r="G76" s="9"/>
      <c r="H76" s="9"/>
      <c r="I76" s="9" t="s">
        <v>124</v>
      </c>
      <c r="J76" s="12"/>
    </row>
    <row r="77">
      <c r="A77" s="9"/>
      <c r="B77" s="9"/>
      <c r="C77" s="9"/>
      <c r="D77" s="9"/>
      <c r="E77" s="9"/>
      <c r="F77" s="9"/>
      <c r="G77" s="9"/>
      <c r="H77" s="9"/>
      <c r="I77" s="9"/>
      <c r="J77" s="12"/>
    </row>
    <row r="78">
      <c r="A78" s="9"/>
      <c r="B78" s="9"/>
      <c r="C78" s="9"/>
      <c r="D78" s="9"/>
      <c r="E78" s="9"/>
      <c r="F78" s="9"/>
      <c r="G78" s="9"/>
      <c r="H78" s="9"/>
      <c r="I78" s="9" t="s">
        <v>135</v>
      </c>
      <c r="J78" s="12"/>
    </row>
    <row r="79">
      <c r="A79" s="9"/>
      <c r="B79" s="9"/>
      <c r="C79" s="9"/>
      <c r="D79" s="9"/>
      <c r="E79" s="9"/>
      <c r="F79" s="9"/>
      <c r="G79" s="9"/>
      <c r="H79" s="9"/>
      <c r="I79" s="9" t="s">
        <v>127</v>
      </c>
      <c r="J79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33</v>
      </c>
      <c r="B1" s="7" t="s">
        <v>137</v>
      </c>
      <c r="C1" s="7" t="s">
        <v>138</v>
      </c>
      <c r="D1" s="7" t="s">
        <v>70</v>
      </c>
      <c r="E1" s="7" t="s">
        <v>71</v>
      </c>
      <c r="F1" s="7" t="s">
        <v>41</v>
      </c>
      <c r="G1" s="7" t="s">
        <v>72</v>
      </c>
      <c r="H1" s="7" t="s">
        <v>73</v>
      </c>
      <c r="I1" s="7" t="s">
        <v>74</v>
      </c>
      <c r="J1" s="7" t="s">
        <v>75</v>
      </c>
    </row>
    <row r="2">
      <c r="A2" s="13" t="str">
        <f t="shared" ref="A2:A23" si="1">HYPERLINK("https://redhat.atlassian.net/browse/HATSTRAT-314","T1: BYOA")</f>
        <v>T1: BYOA</v>
      </c>
      <c r="B2" s="9" t="s">
        <v>45</v>
      </c>
      <c r="C2" s="13" t="str">
        <f>HYPERLINK("https://redhat.atlassian.net/browse/RHAIRFE-334","RHAIRFE-334")</f>
        <v>RHAIRFE-334</v>
      </c>
      <c r="D2" s="9" t="s">
        <v>139</v>
      </c>
      <c r="E2" s="9" t="s">
        <v>79</v>
      </c>
      <c r="F2" s="9" t="s">
        <v>80</v>
      </c>
      <c r="G2" s="9" t="s">
        <v>140</v>
      </c>
      <c r="H2" s="9" t="s">
        <v>141</v>
      </c>
      <c r="I2" s="9" t="s">
        <v>83</v>
      </c>
      <c r="J2" s="9" t="s">
        <v>94</v>
      </c>
    </row>
    <row r="3">
      <c r="A3" s="13" t="str">
        <f t="shared" si="1"/>
        <v>T1: BYOA</v>
      </c>
      <c r="B3" s="9" t="s">
        <v>45</v>
      </c>
      <c r="C3" s="13" t="str">
        <f>HYPERLINK("https://redhat.atlassian.net/browse/RHAIRFE-872","RHAIRFE-872")</f>
        <v>RHAIRFE-872</v>
      </c>
      <c r="D3" s="9" t="s">
        <v>142</v>
      </c>
      <c r="E3" s="9" t="s">
        <v>79</v>
      </c>
      <c r="F3" s="9" t="s">
        <v>80</v>
      </c>
      <c r="G3" s="9" t="s">
        <v>91</v>
      </c>
      <c r="H3" s="9" t="s">
        <v>143</v>
      </c>
      <c r="I3" s="9" t="s">
        <v>144</v>
      </c>
      <c r="J3" s="9" t="s">
        <v>94</v>
      </c>
    </row>
    <row r="4">
      <c r="A4" s="13" t="str">
        <f t="shared" si="1"/>
        <v>T1: BYOA</v>
      </c>
      <c r="B4" s="9" t="s">
        <v>45</v>
      </c>
      <c r="C4" s="13" t="str">
        <f>HYPERLINK("https://redhat.atlassian.net/browse/RHAIRFE-1313","RHAIRFE-1313")</f>
        <v>RHAIRFE-1313</v>
      </c>
      <c r="D4" s="9" t="s">
        <v>145</v>
      </c>
      <c r="E4" s="9" t="s">
        <v>79</v>
      </c>
      <c r="F4" s="9" t="s">
        <v>80</v>
      </c>
      <c r="G4" s="9" t="s">
        <v>140</v>
      </c>
      <c r="H4" s="9" t="s">
        <v>146</v>
      </c>
      <c r="I4" s="9" t="s">
        <v>97</v>
      </c>
      <c r="J4" s="9" t="s">
        <v>94</v>
      </c>
    </row>
    <row r="5">
      <c r="A5" s="13" t="str">
        <f t="shared" si="1"/>
        <v>T1: BYOA</v>
      </c>
      <c r="B5" s="9" t="s">
        <v>45</v>
      </c>
      <c r="C5" s="13" t="str">
        <f>HYPERLINK("https://redhat.atlassian.net/browse/RHAISTRAT-210","RHAISTRAT-210")</f>
        <v>RHAISTRAT-210</v>
      </c>
      <c r="D5" s="9" t="s">
        <v>147</v>
      </c>
      <c r="E5" s="9" t="s">
        <v>116</v>
      </c>
      <c r="F5" s="9" t="s">
        <v>148</v>
      </c>
      <c r="G5" s="9" t="s">
        <v>149</v>
      </c>
      <c r="H5" s="9" t="s">
        <v>150</v>
      </c>
      <c r="I5" s="12"/>
      <c r="J5" s="9" t="s">
        <v>94</v>
      </c>
    </row>
    <row r="6">
      <c r="A6" s="13" t="str">
        <f t="shared" si="1"/>
        <v>T1: BYOA</v>
      </c>
      <c r="B6" s="9" t="s">
        <v>45</v>
      </c>
      <c r="C6" s="13" t="str">
        <f>HYPERLINK("https://redhat.atlassian.net/browse/RHAIRFE-284","RHAIRFE-284")</f>
        <v>RHAIRFE-284</v>
      </c>
      <c r="D6" s="9" t="s">
        <v>151</v>
      </c>
      <c r="E6" s="9" t="s">
        <v>79</v>
      </c>
      <c r="F6" s="9" t="s">
        <v>80</v>
      </c>
      <c r="G6" s="9" t="s">
        <v>91</v>
      </c>
      <c r="H6" s="9" t="s">
        <v>152</v>
      </c>
      <c r="I6" s="9" t="s">
        <v>97</v>
      </c>
      <c r="J6" s="9" t="s">
        <v>98</v>
      </c>
    </row>
    <row r="7">
      <c r="A7" s="13" t="str">
        <f t="shared" si="1"/>
        <v>T1: BYOA</v>
      </c>
      <c r="B7" s="9" t="s">
        <v>45</v>
      </c>
      <c r="C7" s="13" t="str">
        <f>HYPERLINK("https://redhat.atlassian.net/browse/RHAIRFE-333","RHAIRFE-333")</f>
        <v>RHAIRFE-333</v>
      </c>
      <c r="D7" s="9" t="s">
        <v>153</v>
      </c>
      <c r="E7" s="9" t="s">
        <v>79</v>
      </c>
      <c r="F7" s="9" t="s">
        <v>44</v>
      </c>
      <c r="G7" s="9" t="s">
        <v>91</v>
      </c>
      <c r="H7" s="9" t="s">
        <v>154</v>
      </c>
      <c r="I7" s="9" t="s">
        <v>83</v>
      </c>
      <c r="J7" s="9" t="s">
        <v>98</v>
      </c>
    </row>
    <row r="8">
      <c r="A8" s="13" t="str">
        <f t="shared" si="1"/>
        <v>T1: BYOA</v>
      </c>
      <c r="B8" s="9" t="s">
        <v>45</v>
      </c>
      <c r="C8" s="13" t="str">
        <f>HYPERLINK("https://redhat.atlassian.net/browse/RHAIRFE-1314","RHAIRFE-1314")</f>
        <v>RHAIRFE-1314</v>
      </c>
      <c r="D8" s="9" t="s">
        <v>155</v>
      </c>
      <c r="E8" s="9" t="s">
        <v>79</v>
      </c>
      <c r="F8" s="9" t="s">
        <v>44</v>
      </c>
      <c r="G8" s="9" t="s">
        <v>156</v>
      </c>
      <c r="H8" s="9" t="s">
        <v>146</v>
      </c>
      <c r="I8" s="9" t="s">
        <v>83</v>
      </c>
      <c r="J8" s="9" t="s">
        <v>98</v>
      </c>
    </row>
    <row r="9">
      <c r="A9" s="13" t="str">
        <f t="shared" si="1"/>
        <v>T1: BYOA</v>
      </c>
      <c r="B9" s="9" t="s">
        <v>45</v>
      </c>
      <c r="C9" s="13" t="str">
        <f>HYPERLINK("https://redhat.atlassian.net/browse/RHAIRFE-1560","RHAIRFE-1560")</f>
        <v>RHAIRFE-1560</v>
      </c>
      <c r="D9" s="9" t="s">
        <v>157</v>
      </c>
      <c r="E9" s="9" t="s">
        <v>79</v>
      </c>
      <c r="F9" s="9" t="s">
        <v>44</v>
      </c>
      <c r="G9" s="9" t="s">
        <v>156</v>
      </c>
      <c r="H9" s="9" t="s">
        <v>158</v>
      </c>
      <c r="I9" s="9"/>
      <c r="J9" s="9" t="s">
        <v>98</v>
      </c>
    </row>
    <row r="10">
      <c r="A10" s="13" t="str">
        <f t="shared" si="1"/>
        <v>T1: BYOA</v>
      </c>
      <c r="B10" s="9" t="s">
        <v>47</v>
      </c>
      <c r="C10" s="13" t="str">
        <f>HYPERLINK("https://redhat.atlassian.net/browse/RHAISTRAT-64","RHAISTRAT-64")</f>
        <v>RHAISTRAT-64</v>
      </c>
      <c r="D10" s="9" t="s">
        <v>159</v>
      </c>
      <c r="E10" s="9" t="s">
        <v>116</v>
      </c>
      <c r="F10" s="9" t="s">
        <v>46</v>
      </c>
      <c r="G10" s="9" t="s">
        <v>81</v>
      </c>
      <c r="H10" s="9" t="s">
        <v>160</v>
      </c>
      <c r="I10" s="9"/>
      <c r="J10" s="9" t="s">
        <v>98</v>
      </c>
    </row>
    <row r="11">
      <c r="A11" s="13" t="str">
        <f t="shared" si="1"/>
        <v>T1: BYOA</v>
      </c>
      <c r="B11" s="9" t="s">
        <v>47</v>
      </c>
      <c r="C11" s="13" t="str">
        <f>HYPERLINK("https://redhat.atlassian.net/browse/RHAISTRAT-104","RHAISTRAT-104")</f>
        <v>RHAISTRAT-104</v>
      </c>
      <c r="D11" s="9" t="s">
        <v>161</v>
      </c>
      <c r="E11" s="9" t="s">
        <v>116</v>
      </c>
      <c r="F11" s="9" t="s">
        <v>148</v>
      </c>
      <c r="G11" s="9" t="s">
        <v>162</v>
      </c>
      <c r="H11" s="9" t="s">
        <v>163</v>
      </c>
      <c r="I11" s="9" t="s">
        <v>164</v>
      </c>
      <c r="J11" s="9" t="s">
        <v>98</v>
      </c>
    </row>
    <row r="12">
      <c r="A12" s="13" t="str">
        <f t="shared" si="1"/>
        <v>T1: BYOA</v>
      </c>
      <c r="B12" s="9" t="s">
        <v>48</v>
      </c>
      <c r="C12" s="13" t="str">
        <f>HYPERLINK("https://redhat.atlassian.net/browse/RHAIRFE-794","RHAIRFE-794")</f>
        <v>RHAIRFE-794</v>
      </c>
      <c r="D12" s="9" t="s">
        <v>165</v>
      </c>
      <c r="E12" s="9" t="s">
        <v>79</v>
      </c>
      <c r="F12" s="9" t="s">
        <v>80</v>
      </c>
      <c r="G12" s="9" t="s">
        <v>91</v>
      </c>
      <c r="H12" s="9" t="s">
        <v>166</v>
      </c>
      <c r="I12" s="9" t="s">
        <v>97</v>
      </c>
      <c r="J12" s="9" t="s">
        <v>94</v>
      </c>
    </row>
    <row r="13">
      <c r="A13" s="13" t="str">
        <f t="shared" si="1"/>
        <v>T1: BYOA</v>
      </c>
      <c r="B13" s="9" t="s">
        <v>48</v>
      </c>
      <c r="C13" s="13" t="str">
        <f>HYPERLINK("https://redhat.atlassian.net/browse/RHAISTRAT-59","RHAISTRAT-59")</f>
        <v>RHAISTRAT-59</v>
      </c>
      <c r="D13" s="9" t="s">
        <v>167</v>
      </c>
      <c r="E13" s="9" t="s">
        <v>116</v>
      </c>
      <c r="F13" s="9" t="s">
        <v>46</v>
      </c>
      <c r="G13" s="9" t="s">
        <v>168</v>
      </c>
      <c r="H13" s="9" t="s">
        <v>169</v>
      </c>
      <c r="I13" s="9" t="s">
        <v>170</v>
      </c>
      <c r="J13" s="9" t="s">
        <v>94</v>
      </c>
    </row>
    <row r="14">
      <c r="A14" s="13" t="str">
        <f t="shared" si="1"/>
        <v>T1: BYOA</v>
      </c>
      <c r="B14" s="9" t="s">
        <v>48</v>
      </c>
      <c r="C14" s="13" t="str">
        <f>HYPERLINK("https://redhat.atlassian.net/browse/RHAIRFE-1561","RHAIRFE-1561")</f>
        <v>RHAIRFE-1561</v>
      </c>
      <c r="D14" s="9" t="s">
        <v>171</v>
      </c>
      <c r="E14" s="9" t="s">
        <v>79</v>
      </c>
      <c r="F14" s="9" t="s">
        <v>44</v>
      </c>
      <c r="G14" s="9" t="s">
        <v>156</v>
      </c>
      <c r="H14" s="9" t="s">
        <v>88</v>
      </c>
      <c r="I14" s="9"/>
      <c r="J14" s="9" t="s">
        <v>98</v>
      </c>
    </row>
    <row r="15">
      <c r="A15" s="13" t="str">
        <f t="shared" si="1"/>
        <v>T1: BYOA</v>
      </c>
      <c r="B15" s="9" t="s">
        <v>48</v>
      </c>
      <c r="C15" s="13" t="str">
        <f>HYPERLINK("https://redhat.atlassian.net/browse/RHAISTRAT-175","RHAISTRAT-175")</f>
        <v>RHAISTRAT-175</v>
      </c>
      <c r="D15" s="9" t="s">
        <v>172</v>
      </c>
      <c r="E15" s="9" t="s">
        <v>116</v>
      </c>
      <c r="F15" s="9" t="s">
        <v>173</v>
      </c>
      <c r="G15" s="9" t="s">
        <v>174</v>
      </c>
      <c r="H15" s="9" t="s">
        <v>175</v>
      </c>
      <c r="I15" s="9" t="s">
        <v>120</v>
      </c>
      <c r="J15" s="9" t="s">
        <v>98</v>
      </c>
    </row>
    <row r="16">
      <c r="A16" s="13" t="str">
        <f t="shared" si="1"/>
        <v>T1: BYOA</v>
      </c>
      <c r="B16" s="9" t="s">
        <v>48</v>
      </c>
      <c r="C16" s="13" t="str">
        <f>HYPERLINK("https://redhat.atlassian.net/browse/RHAISTRAT-1076","RHAISTRAT-1076")</f>
        <v>RHAISTRAT-1076</v>
      </c>
      <c r="D16" s="9" t="s">
        <v>176</v>
      </c>
      <c r="E16" s="9" t="s">
        <v>116</v>
      </c>
      <c r="F16" s="9" t="s">
        <v>173</v>
      </c>
      <c r="G16" s="9" t="s">
        <v>177</v>
      </c>
      <c r="H16" s="9" t="s">
        <v>178</v>
      </c>
      <c r="I16" s="9" t="s">
        <v>179</v>
      </c>
      <c r="J16" s="9" t="s">
        <v>98</v>
      </c>
    </row>
    <row r="17">
      <c r="A17" s="13" t="str">
        <f t="shared" si="1"/>
        <v>T1: BYOA</v>
      </c>
      <c r="B17" s="9" t="s">
        <v>49</v>
      </c>
      <c r="C17" s="13" t="str">
        <f>HYPERLINK("https://redhat.atlassian.net/browse/RHAIRFE-1351","RHAIRFE-1351")</f>
        <v>RHAIRFE-1351</v>
      </c>
      <c r="D17" s="9" t="s">
        <v>180</v>
      </c>
      <c r="E17" s="9" t="s">
        <v>79</v>
      </c>
      <c r="F17" s="9" t="s">
        <v>80</v>
      </c>
      <c r="G17" s="9" t="s">
        <v>181</v>
      </c>
      <c r="H17" s="9" t="s">
        <v>182</v>
      </c>
      <c r="I17" s="9" t="s">
        <v>97</v>
      </c>
      <c r="J17" s="9" t="s">
        <v>94</v>
      </c>
    </row>
    <row r="18">
      <c r="A18" s="13" t="str">
        <f t="shared" si="1"/>
        <v>T1: BYOA</v>
      </c>
      <c r="B18" s="9" t="s">
        <v>49</v>
      </c>
      <c r="C18" s="13" t="str">
        <f>HYPERLINK("https://redhat.atlassian.net/browse/RHAISTRAT-1213","RHAISTRAT-1213")</f>
        <v>RHAISTRAT-1213</v>
      </c>
      <c r="D18" s="9" t="s">
        <v>183</v>
      </c>
      <c r="E18" s="9" t="s">
        <v>116</v>
      </c>
      <c r="F18" s="9" t="s">
        <v>148</v>
      </c>
      <c r="G18" s="9" t="s">
        <v>149</v>
      </c>
      <c r="H18" s="9" t="s">
        <v>158</v>
      </c>
      <c r="I18" s="9" t="s">
        <v>184</v>
      </c>
      <c r="J18" s="9" t="s">
        <v>94</v>
      </c>
    </row>
    <row r="19">
      <c r="A19" s="13" t="str">
        <f t="shared" si="1"/>
        <v>T1: BYOA</v>
      </c>
      <c r="B19" s="9" t="s">
        <v>49</v>
      </c>
      <c r="C19" s="13" t="str">
        <f>HYPERLINK("https://redhat.atlassian.net/browse/RHAISTRAT-1214","RHAISTRAT-1214")</f>
        <v>RHAISTRAT-1214</v>
      </c>
      <c r="D19" s="9" t="s">
        <v>185</v>
      </c>
      <c r="E19" s="9" t="s">
        <v>116</v>
      </c>
      <c r="F19" s="9" t="s">
        <v>148</v>
      </c>
      <c r="G19" s="9" t="s">
        <v>149</v>
      </c>
      <c r="H19" s="9" t="s">
        <v>186</v>
      </c>
      <c r="I19" s="9" t="s">
        <v>187</v>
      </c>
      <c r="J19" s="9" t="s">
        <v>94</v>
      </c>
    </row>
    <row r="20">
      <c r="A20" s="13" t="str">
        <f t="shared" si="1"/>
        <v>T1: BYOA</v>
      </c>
      <c r="B20" s="9" t="s">
        <v>49</v>
      </c>
      <c r="C20" s="13" t="str">
        <f>HYPERLINK("https://redhat.atlassian.net/browse/RHAISTRAT-1216","RHAISTRAT-1216")</f>
        <v>RHAISTRAT-1216</v>
      </c>
      <c r="D20" s="9" t="s">
        <v>188</v>
      </c>
      <c r="E20" s="9" t="s">
        <v>116</v>
      </c>
      <c r="F20" s="9" t="s">
        <v>46</v>
      </c>
      <c r="G20" s="9" t="s">
        <v>149</v>
      </c>
      <c r="H20" s="9" t="s">
        <v>189</v>
      </c>
      <c r="I20" s="9" t="s">
        <v>190</v>
      </c>
      <c r="J20" s="9" t="s">
        <v>94</v>
      </c>
    </row>
    <row r="21">
      <c r="A21" s="13" t="str">
        <f t="shared" si="1"/>
        <v>T1: BYOA</v>
      </c>
      <c r="B21" s="9" t="s">
        <v>49</v>
      </c>
      <c r="C21" s="13" t="str">
        <f>HYPERLINK("https://redhat.atlassian.net/browse/RHAISTRAT-1259","RHAISTRAT-1259")</f>
        <v>RHAISTRAT-1259</v>
      </c>
      <c r="D21" s="9" t="s">
        <v>191</v>
      </c>
      <c r="E21" s="9" t="s">
        <v>116</v>
      </c>
      <c r="F21" s="9" t="s">
        <v>46</v>
      </c>
      <c r="G21" s="9" t="s">
        <v>149</v>
      </c>
      <c r="H21" s="9" t="s">
        <v>158</v>
      </c>
      <c r="I21" s="9" t="s">
        <v>184</v>
      </c>
      <c r="J21" s="9" t="s">
        <v>94</v>
      </c>
    </row>
    <row r="22">
      <c r="A22" s="13" t="str">
        <f t="shared" si="1"/>
        <v>T1: BYOA</v>
      </c>
      <c r="B22" s="9" t="s">
        <v>49</v>
      </c>
      <c r="C22" s="13" t="str">
        <f>HYPERLINK("https://redhat.atlassian.net/browse/RHAIRFE-1538","RHAIRFE-1538")</f>
        <v>RHAIRFE-1538</v>
      </c>
      <c r="D22" s="9" t="s">
        <v>192</v>
      </c>
      <c r="E22" s="9" t="s">
        <v>79</v>
      </c>
      <c r="F22" s="9" t="s">
        <v>80</v>
      </c>
      <c r="G22" s="9" t="s">
        <v>91</v>
      </c>
      <c r="H22" s="9" t="s">
        <v>193</v>
      </c>
      <c r="I22" s="9" t="s">
        <v>83</v>
      </c>
      <c r="J22" s="9" t="s">
        <v>98</v>
      </c>
    </row>
    <row r="23">
      <c r="A23" s="13" t="str">
        <f t="shared" si="1"/>
        <v>T1: BYOA</v>
      </c>
      <c r="B23" s="9" t="s">
        <v>49</v>
      </c>
      <c r="C23" s="13" t="str">
        <f>HYPERLINK("https://redhat.atlassian.net/browse/RHAIRFE-1488","RHAIRFE-1488")</f>
        <v>RHAIRFE-1488</v>
      </c>
      <c r="D23" s="9" t="s">
        <v>194</v>
      </c>
      <c r="E23" s="9" t="s">
        <v>79</v>
      </c>
      <c r="F23" s="9" t="s">
        <v>44</v>
      </c>
      <c r="G23" s="9" t="s">
        <v>156</v>
      </c>
      <c r="H23" s="9" t="s">
        <v>195</v>
      </c>
      <c r="I23" s="9"/>
      <c r="J23" s="9" t="s">
        <v>196</v>
      </c>
    </row>
    <row r="24">
      <c r="A24" s="13" t="str">
        <f t="shared" ref="A24:A72" si="2">HYPERLINK("https://redhat.atlassian.net/browse/HATSTRAT-315","T2: One API")</f>
        <v>T2: One API</v>
      </c>
      <c r="B24" s="9" t="s">
        <v>50</v>
      </c>
      <c r="C24" s="13" t="str">
        <f>HYPERLINK("https://redhat.atlassian.net/browse/RHAISTRAT-1375","RHAISTRAT-1375")</f>
        <v>RHAISTRAT-1375</v>
      </c>
      <c r="D24" s="9" t="s">
        <v>197</v>
      </c>
      <c r="E24" s="9" t="s">
        <v>116</v>
      </c>
      <c r="F24" s="9" t="s">
        <v>44</v>
      </c>
      <c r="G24" s="9" t="s">
        <v>198</v>
      </c>
      <c r="H24" s="9" t="s">
        <v>112</v>
      </c>
      <c r="I24" s="12"/>
      <c r="J24" s="9" t="s">
        <v>84</v>
      </c>
    </row>
    <row r="25">
      <c r="A25" s="13" t="str">
        <f t="shared" si="2"/>
        <v>T2: One API</v>
      </c>
      <c r="B25" s="9" t="s">
        <v>51</v>
      </c>
      <c r="C25" s="13" t="str">
        <f>HYPERLINK("https://redhat.atlassian.net/browse/RHAISTRAT-1416","RHAISTRAT-1416")</f>
        <v>RHAISTRAT-1416</v>
      </c>
      <c r="D25" s="9" t="s">
        <v>110</v>
      </c>
      <c r="E25" s="9" t="s">
        <v>116</v>
      </c>
      <c r="F25" s="9" t="s">
        <v>46</v>
      </c>
      <c r="G25" s="9" t="s">
        <v>199</v>
      </c>
      <c r="H25" s="9" t="s">
        <v>112</v>
      </c>
      <c r="I25" s="12"/>
      <c r="J25" s="9" t="s">
        <v>94</v>
      </c>
    </row>
    <row r="26">
      <c r="A26" s="13" t="str">
        <f t="shared" si="2"/>
        <v>T2: One API</v>
      </c>
      <c r="B26" s="9" t="s">
        <v>51</v>
      </c>
      <c r="C26" s="13" t="str">
        <f>HYPERLINK("https://redhat.atlassian.net/browse/RHAIRFE-1489","RHAIRFE-1489")</f>
        <v>RHAIRFE-1489</v>
      </c>
      <c r="D26" s="9" t="s">
        <v>200</v>
      </c>
      <c r="E26" s="9" t="s">
        <v>79</v>
      </c>
      <c r="F26" s="9" t="s">
        <v>80</v>
      </c>
      <c r="G26" s="9" t="s">
        <v>156</v>
      </c>
      <c r="H26" s="9" t="s">
        <v>201</v>
      </c>
      <c r="I26" s="9"/>
      <c r="J26" s="9" t="s">
        <v>196</v>
      </c>
    </row>
    <row r="27">
      <c r="A27" s="13" t="str">
        <f t="shared" si="2"/>
        <v>T2: One API</v>
      </c>
      <c r="B27" s="9" t="s">
        <v>52</v>
      </c>
      <c r="C27" s="13" t="str">
        <f>HYPERLINK("https://redhat.atlassian.net/browse/RHAISTRAT-1054","RHAISTRAT-1054")</f>
        <v>RHAISTRAT-1054</v>
      </c>
      <c r="D27" s="9" t="s">
        <v>202</v>
      </c>
      <c r="E27" s="9" t="s">
        <v>116</v>
      </c>
      <c r="F27" s="9" t="s">
        <v>46</v>
      </c>
      <c r="G27" s="9" t="s">
        <v>203</v>
      </c>
      <c r="H27" s="9" t="s">
        <v>106</v>
      </c>
      <c r="I27" s="9" t="s">
        <v>204</v>
      </c>
      <c r="J27" s="9" t="s">
        <v>94</v>
      </c>
    </row>
    <row r="28">
      <c r="A28" s="13" t="str">
        <f t="shared" si="2"/>
        <v>T2: One API</v>
      </c>
      <c r="B28" s="9" t="s">
        <v>52</v>
      </c>
      <c r="C28" s="13" t="str">
        <f>HYPERLINK("https://redhat.atlassian.net/browse/RHAISTRAT-1111","RHAISTRAT-1111")</f>
        <v>RHAISTRAT-1111</v>
      </c>
      <c r="D28" s="9" t="s">
        <v>205</v>
      </c>
      <c r="E28" s="9" t="s">
        <v>116</v>
      </c>
      <c r="F28" s="9" t="s">
        <v>44</v>
      </c>
      <c r="G28" s="9" t="s">
        <v>162</v>
      </c>
      <c r="H28" s="9" t="s">
        <v>106</v>
      </c>
      <c r="I28" s="9" t="s">
        <v>97</v>
      </c>
      <c r="J28" s="9" t="s">
        <v>94</v>
      </c>
    </row>
    <row r="29">
      <c r="A29" s="13" t="str">
        <f t="shared" si="2"/>
        <v>T2: One API</v>
      </c>
      <c r="B29" s="9" t="s">
        <v>52</v>
      </c>
      <c r="C29" s="13" t="str">
        <f>HYPERLINK("https://redhat.atlassian.net/browse/RHAISTRAT-1217","RHAISTRAT-1217")</f>
        <v>RHAISTRAT-1217</v>
      </c>
      <c r="D29" s="9" t="s">
        <v>206</v>
      </c>
      <c r="E29" s="9" t="s">
        <v>116</v>
      </c>
      <c r="F29" s="9" t="s">
        <v>46</v>
      </c>
      <c r="G29" s="9" t="s">
        <v>199</v>
      </c>
      <c r="H29" s="9" t="s">
        <v>119</v>
      </c>
      <c r="I29" s="9" t="s">
        <v>187</v>
      </c>
      <c r="J29" s="9" t="s">
        <v>94</v>
      </c>
    </row>
    <row r="30">
      <c r="A30" s="13" t="str">
        <f t="shared" si="2"/>
        <v>T2: One API</v>
      </c>
      <c r="B30" s="9" t="s">
        <v>52</v>
      </c>
      <c r="C30" s="13" t="str">
        <f>HYPERLINK("https://redhat.atlassian.net/browse/RHAISTRAT-1228","RHAISTRAT-1228")</f>
        <v>RHAISTRAT-1228</v>
      </c>
      <c r="D30" s="9" t="s">
        <v>207</v>
      </c>
      <c r="E30" s="9" t="s">
        <v>116</v>
      </c>
      <c r="F30" s="9" t="s">
        <v>46</v>
      </c>
      <c r="G30" s="9" t="s">
        <v>199</v>
      </c>
      <c r="H30" s="9" t="s">
        <v>112</v>
      </c>
      <c r="I30" s="9" t="s">
        <v>208</v>
      </c>
      <c r="J30" s="9" t="s">
        <v>94</v>
      </c>
    </row>
    <row r="31">
      <c r="A31" s="13" t="str">
        <f t="shared" si="2"/>
        <v>T2: One API</v>
      </c>
      <c r="B31" s="9" t="s">
        <v>52</v>
      </c>
      <c r="C31" s="13" t="str">
        <f>HYPERLINK("https://redhat.atlassian.net/browse/RHAISTRAT-1418","RHAISTRAT-1418")</f>
        <v>RHAISTRAT-1418</v>
      </c>
      <c r="D31" s="9" t="s">
        <v>105</v>
      </c>
      <c r="E31" s="9" t="s">
        <v>116</v>
      </c>
      <c r="F31" s="9" t="s">
        <v>44</v>
      </c>
      <c r="G31" s="9" t="s">
        <v>156</v>
      </c>
      <c r="H31" s="9" t="s">
        <v>112</v>
      </c>
      <c r="I31" s="9"/>
      <c r="J31" s="9" t="s">
        <v>94</v>
      </c>
    </row>
    <row r="32">
      <c r="A32" s="13" t="str">
        <f t="shared" si="2"/>
        <v>T2: One API</v>
      </c>
      <c r="B32" s="9" t="s">
        <v>52</v>
      </c>
      <c r="C32" s="13" t="str">
        <f>HYPERLINK("https://redhat.atlassian.net/browse/RHAIRFE-1556","RHAIRFE-1556")</f>
        <v>RHAIRFE-1556</v>
      </c>
      <c r="D32" s="9" t="s">
        <v>209</v>
      </c>
      <c r="E32" s="9" t="s">
        <v>79</v>
      </c>
      <c r="F32" s="9" t="s">
        <v>44</v>
      </c>
      <c r="G32" s="9" t="s">
        <v>156</v>
      </c>
      <c r="H32" s="9" t="s">
        <v>112</v>
      </c>
      <c r="I32" s="9"/>
      <c r="J32" s="9" t="s">
        <v>98</v>
      </c>
    </row>
    <row r="33">
      <c r="A33" s="13" t="str">
        <f t="shared" si="2"/>
        <v>T2: One API</v>
      </c>
      <c r="B33" s="9" t="s">
        <v>52</v>
      </c>
      <c r="C33" s="13" t="str">
        <f>HYPERLINK("https://redhat.atlassian.net/browse/RHAIRFE-1564","RHAIRFE-1564")</f>
        <v>RHAIRFE-1564</v>
      </c>
      <c r="D33" s="9" t="s">
        <v>210</v>
      </c>
      <c r="E33" s="9" t="s">
        <v>79</v>
      </c>
      <c r="F33" s="9" t="s">
        <v>44</v>
      </c>
      <c r="G33" s="9" t="s">
        <v>156</v>
      </c>
      <c r="H33" s="9" t="s">
        <v>112</v>
      </c>
      <c r="I33" s="12"/>
      <c r="J33" s="9" t="s">
        <v>98</v>
      </c>
    </row>
    <row r="34">
      <c r="A34" s="13" t="str">
        <f t="shared" si="2"/>
        <v>T2: One API</v>
      </c>
      <c r="B34" s="9" t="s">
        <v>52</v>
      </c>
      <c r="C34" s="13" t="str">
        <f>HYPERLINK("https://redhat.atlassian.net/browse/RHAIRFE-1614","RHAIRFE-1614")</f>
        <v>RHAIRFE-1614</v>
      </c>
      <c r="D34" s="9" t="s">
        <v>211</v>
      </c>
      <c r="E34" s="9" t="s">
        <v>79</v>
      </c>
      <c r="F34" s="9" t="s">
        <v>80</v>
      </c>
      <c r="G34" s="9" t="s">
        <v>156</v>
      </c>
      <c r="H34" s="9" t="s">
        <v>112</v>
      </c>
      <c r="I34" s="9"/>
      <c r="J34" s="9" t="s">
        <v>98</v>
      </c>
    </row>
    <row r="35">
      <c r="A35" s="13" t="str">
        <f t="shared" si="2"/>
        <v>T2: One API</v>
      </c>
      <c r="B35" s="9" t="s">
        <v>52</v>
      </c>
      <c r="C35" s="13" t="str">
        <f>HYPERLINK("https://redhat.atlassian.net/browse/RHAISTRAT-1231","RHAISTRAT-1231")</f>
        <v>RHAISTRAT-1231</v>
      </c>
      <c r="D35" s="9" t="s">
        <v>212</v>
      </c>
      <c r="E35" s="9" t="s">
        <v>116</v>
      </c>
      <c r="F35" s="9" t="s">
        <v>44</v>
      </c>
      <c r="G35" s="9" t="s">
        <v>156</v>
      </c>
      <c r="H35" s="9" t="s">
        <v>112</v>
      </c>
      <c r="I35" s="9"/>
      <c r="J35" s="9" t="s">
        <v>98</v>
      </c>
    </row>
    <row r="36">
      <c r="A36" s="13" t="str">
        <f t="shared" si="2"/>
        <v>T2: One API</v>
      </c>
      <c r="B36" s="9" t="s">
        <v>52</v>
      </c>
      <c r="C36" s="13" t="str">
        <f>HYPERLINK("https://redhat.atlassian.net/browse/RHAISTRAT-1232","RHAISTRAT-1232")</f>
        <v>RHAISTRAT-1232</v>
      </c>
      <c r="D36" s="9" t="s">
        <v>213</v>
      </c>
      <c r="E36" s="9" t="s">
        <v>116</v>
      </c>
      <c r="F36" s="9" t="s">
        <v>44</v>
      </c>
      <c r="G36" s="9" t="s">
        <v>156</v>
      </c>
      <c r="H36" s="9" t="s">
        <v>112</v>
      </c>
      <c r="I36" s="9"/>
      <c r="J36" s="9" t="s">
        <v>98</v>
      </c>
    </row>
    <row r="37">
      <c r="A37" s="13" t="str">
        <f t="shared" si="2"/>
        <v>T2: One API</v>
      </c>
      <c r="B37" s="9" t="s">
        <v>52</v>
      </c>
      <c r="C37" s="13" t="str">
        <f>HYPERLINK("https://redhat.atlassian.net/browse/RHAISTRAT-1397","RHAISTRAT-1397")</f>
        <v>RHAISTRAT-1397</v>
      </c>
      <c r="D37" s="9" t="s">
        <v>214</v>
      </c>
      <c r="E37" s="9" t="s">
        <v>116</v>
      </c>
      <c r="F37" s="9" t="s">
        <v>44</v>
      </c>
      <c r="G37" s="9" t="s">
        <v>81</v>
      </c>
      <c r="H37" s="9" t="s">
        <v>112</v>
      </c>
      <c r="I37" s="9"/>
      <c r="J37" s="9" t="s">
        <v>98</v>
      </c>
    </row>
    <row r="38">
      <c r="A38" s="13" t="str">
        <f t="shared" si="2"/>
        <v>T2: One API</v>
      </c>
      <c r="B38" s="9" t="s">
        <v>52</v>
      </c>
      <c r="C38" s="13" t="str">
        <f>HYPERLINK("https://redhat.atlassian.net/browse/RHAISTRAT-1407","RHAISTRAT-1407")</f>
        <v>RHAISTRAT-1407</v>
      </c>
      <c r="D38" s="9" t="s">
        <v>215</v>
      </c>
      <c r="E38" s="9" t="s">
        <v>116</v>
      </c>
      <c r="F38" s="9" t="s">
        <v>44</v>
      </c>
      <c r="G38" s="9" t="s">
        <v>156</v>
      </c>
      <c r="H38" s="9" t="s">
        <v>112</v>
      </c>
      <c r="I38" s="9"/>
      <c r="J38" s="9" t="s">
        <v>98</v>
      </c>
    </row>
    <row r="39">
      <c r="A39" s="13" t="str">
        <f t="shared" si="2"/>
        <v>T2: One API</v>
      </c>
      <c r="B39" s="9" t="s">
        <v>52</v>
      </c>
      <c r="C39" s="13" t="str">
        <f>HYPERLINK("https://redhat.atlassian.net/browse/RHAISTRAT-1420","RHAISTRAT-1420")</f>
        <v>RHAISTRAT-1420</v>
      </c>
      <c r="D39" s="9" t="s">
        <v>216</v>
      </c>
      <c r="E39" s="9" t="s">
        <v>116</v>
      </c>
      <c r="F39" s="9" t="s">
        <v>44</v>
      </c>
      <c r="G39" s="9" t="s">
        <v>91</v>
      </c>
      <c r="H39" s="9" t="s">
        <v>112</v>
      </c>
      <c r="I39" s="9"/>
      <c r="J39" s="9" t="s">
        <v>84</v>
      </c>
    </row>
    <row r="40">
      <c r="A40" s="13" t="str">
        <f t="shared" si="2"/>
        <v>T2: One API</v>
      </c>
      <c r="B40" s="9" t="s">
        <v>53</v>
      </c>
      <c r="C40" s="13" t="str">
        <f>HYPERLINK("https://redhat.atlassian.net/browse/RHAIRFE-976","RHAIRFE-976")</f>
        <v>RHAIRFE-976</v>
      </c>
      <c r="D40" s="9" t="s">
        <v>217</v>
      </c>
      <c r="E40" s="9" t="s">
        <v>79</v>
      </c>
      <c r="F40" s="9" t="s">
        <v>80</v>
      </c>
      <c r="G40" s="9" t="s">
        <v>111</v>
      </c>
      <c r="H40" s="9" t="s">
        <v>112</v>
      </c>
      <c r="I40" s="9" t="s">
        <v>97</v>
      </c>
      <c r="J40" s="9" t="s">
        <v>98</v>
      </c>
    </row>
    <row r="41">
      <c r="A41" s="13" t="str">
        <f t="shared" si="2"/>
        <v>T2: One API</v>
      </c>
      <c r="B41" s="9" t="s">
        <v>53</v>
      </c>
      <c r="C41" s="13" t="str">
        <f>HYPERLINK("https://redhat.atlassian.net/browse/RHAISTRAT-989","RHAISTRAT-989")</f>
        <v>RHAISTRAT-989</v>
      </c>
      <c r="D41" s="9" t="s">
        <v>218</v>
      </c>
      <c r="E41" s="9" t="s">
        <v>116</v>
      </c>
      <c r="F41" s="9" t="s">
        <v>46</v>
      </c>
      <c r="G41" s="9" t="s">
        <v>156</v>
      </c>
      <c r="H41" s="9" t="s">
        <v>119</v>
      </c>
      <c r="I41" s="9" t="s">
        <v>97</v>
      </c>
      <c r="J41" s="9" t="s">
        <v>98</v>
      </c>
    </row>
    <row r="42">
      <c r="A42" s="13" t="str">
        <f t="shared" si="2"/>
        <v>T2: One API</v>
      </c>
      <c r="B42" s="9" t="s">
        <v>55</v>
      </c>
      <c r="C42" s="13" t="str">
        <f>HYPERLINK("https://redhat.atlassian.net/browse/RHAISTRAT-983","RHAISTRAT-983")</f>
        <v>RHAISTRAT-983</v>
      </c>
      <c r="D42" s="9" t="s">
        <v>219</v>
      </c>
      <c r="E42" s="9" t="s">
        <v>116</v>
      </c>
      <c r="F42" s="9" t="s">
        <v>117</v>
      </c>
      <c r="G42" s="9" t="s">
        <v>118</v>
      </c>
      <c r="H42" s="9" t="s">
        <v>112</v>
      </c>
      <c r="I42" s="9" t="s">
        <v>170</v>
      </c>
      <c r="J42" s="9" t="s">
        <v>94</v>
      </c>
    </row>
    <row r="43">
      <c r="A43" s="13" t="str">
        <f t="shared" si="2"/>
        <v>T2: One API</v>
      </c>
      <c r="B43" s="9" t="s">
        <v>55</v>
      </c>
      <c r="C43" s="13" t="str">
        <f>HYPERLINK("https://redhat.atlassian.net/browse/RHAISTRAT-160","RHAISTRAT-160")</f>
        <v>RHAISTRAT-160</v>
      </c>
      <c r="D43" s="9" t="s">
        <v>220</v>
      </c>
      <c r="E43" s="9" t="s">
        <v>116</v>
      </c>
      <c r="F43" s="9" t="s">
        <v>148</v>
      </c>
      <c r="G43" s="9" t="s">
        <v>221</v>
      </c>
      <c r="H43" s="9" t="s">
        <v>222</v>
      </c>
      <c r="I43" s="9" t="s">
        <v>208</v>
      </c>
      <c r="J43" s="9" t="s">
        <v>84</v>
      </c>
    </row>
    <row r="44">
      <c r="A44" s="13" t="str">
        <f t="shared" si="2"/>
        <v>T2: One API</v>
      </c>
      <c r="B44" s="9" t="s">
        <v>55</v>
      </c>
      <c r="C44" s="13" t="str">
        <f>HYPERLINK("https://redhat.atlassian.net/browse/RHAISTRAT-161","RHAISTRAT-161")</f>
        <v>RHAISTRAT-161</v>
      </c>
      <c r="D44" s="9" t="s">
        <v>223</v>
      </c>
      <c r="E44" s="9" t="s">
        <v>116</v>
      </c>
      <c r="F44" s="9" t="s">
        <v>46</v>
      </c>
      <c r="G44" s="9" t="s">
        <v>224</v>
      </c>
      <c r="H44" s="9" t="s">
        <v>225</v>
      </c>
      <c r="I44" s="9" t="s">
        <v>208</v>
      </c>
      <c r="J44" s="9" t="s">
        <v>84</v>
      </c>
    </row>
    <row r="45">
      <c r="A45" s="13" t="str">
        <f t="shared" si="2"/>
        <v>T2: One API</v>
      </c>
      <c r="B45" s="9" t="s">
        <v>56</v>
      </c>
      <c r="C45" s="13" t="str">
        <f>HYPERLINK("https://redhat.atlassian.net/browse/RHAISTRAT-39","RHAISTRAT-39")</f>
        <v>RHAISTRAT-39</v>
      </c>
      <c r="D45" s="9" t="s">
        <v>226</v>
      </c>
      <c r="E45" s="9" t="s">
        <v>116</v>
      </c>
      <c r="F45" s="9" t="s">
        <v>46</v>
      </c>
      <c r="G45" s="9" t="s">
        <v>227</v>
      </c>
      <c r="H45" s="9" t="s">
        <v>228</v>
      </c>
      <c r="I45" s="9" t="s">
        <v>97</v>
      </c>
      <c r="J45" s="9" t="s">
        <v>94</v>
      </c>
    </row>
    <row r="46">
      <c r="A46" s="13" t="str">
        <f t="shared" si="2"/>
        <v>T2: One API</v>
      </c>
      <c r="B46" s="9" t="s">
        <v>56</v>
      </c>
      <c r="C46" s="13" t="str">
        <f>HYPERLINK("https://redhat.atlassian.net/browse/RHAISTRAT-185","RHAISTRAT-185")</f>
        <v>RHAISTRAT-185</v>
      </c>
      <c r="D46" s="9" t="s">
        <v>229</v>
      </c>
      <c r="E46" s="9" t="s">
        <v>116</v>
      </c>
      <c r="F46" s="9" t="s">
        <v>44</v>
      </c>
      <c r="G46" s="9" t="s">
        <v>230</v>
      </c>
      <c r="H46" s="9" t="s">
        <v>112</v>
      </c>
      <c r="I46" s="9"/>
      <c r="J46" s="9" t="s">
        <v>94</v>
      </c>
    </row>
    <row r="47">
      <c r="A47" s="13" t="str">
        <f t="shared" si="2"/>
        <v>T2: One API</v>
      </c>
      <c r="B47" s="9" t="s">
        <v>56</v>
      </c>
      <c r="C47" s="13" t="str">
        <f>HYPERLINK("https://redhat.atlassian.net/browse/RHAISTRAT-196","RHAISTRAT-196")</f>
        <v>RHAISTRAT-196</v>
      </c>
      <c r="D47" s="9" t="s">
        <v>231</v>
      </c>
      <c r="E47" s="9" t="s">
        <v>116</v>
      </c>
      <c r="F47" s="9" t="s">
        <v>173</v>
      </c>
      <c r="G47" s="9" t="s">
        <v>232</v>
      </c>
      <c r="H47" s="9" t="s">
        <v>233</v>
      </c>
      <c r="I47" s="9" t="s">
        <v>187</v>
      </c>
      <c r="J47" s="9" t="s">
        <v>94</v>
      </c>
    </row>
    <row r="48">
      <c r="A48" s="13" t="str">
        <f t="shared" si="2"/>
        <v>T2: One API</v>
      </c>
      <c r="B48" s="9" t="s">
        <v>56</v>
      </c>
      <c r="C48" s="13" t="str">
        <f>HYPERLINK("https://redhat.atlassian.net/browse/RHAISTRAT-1104","RHAISTRAT-1104")</f>
        <v>RHAISTRAT-1104</v>
      </c>
      <c r="D48" s="9" t="s">
        <v>234</v>
      </c>
      <c r="E48" s="9" t="s">
        <v>116</v>
      </c>
      <c r="F48" s="9" t="s">
        <v>46</v>
      </c>
      <c r="G48" s="9" t="s">
        <v>111</v>
      </c>
      <c r="H48" s="9" t="s">
        <v>235</v>
      </c>
      <c r="I48" s="9" t="s">
        <v>187</v>
      </c>
      <c r="J48" s="9" t="s">
        <v>94</v>
      </c>
    </row>
    <row r="49">
      <c r="A49" s="13" t="str">
        <f t="shared" si="2"/>
        <v>T2: One API</v>
      </c>
      <c r="B49" s="9" t="s">
        <v>56</v>
      </c>
      <c r="C49" s="13" t="str">
        <f>HYPERLINK("https://redhat.atlassian.net/browse/RHAISTRAT-1142","RHAISTRAT-1142")</f>
        <v>RHAISTRAT-1142</v>
      </c>
      <c r="D49" s="9" t="s">
        <v>236</v>
      </c>
      <c r="E49" s="9" t="s">
        <v>237</v>
      </c>
      <c r="F49" s="9" t="s">
        <v>46</v>
      </c>
      <c r="G49" s="9" t="s">
        <v>238</v>
      </c>
      <c r="H49" s="9" t="s">
        <v>239</v>
      </c>
      <c r="I49" s="9" t="s">
        <v>179</v>
      </c>
      <c r="J49" s="9" t="s">
        <v>94</v>
      </c>
    </row>
    <row r="50">
      <c r="A50" s="13" t="str">
        <f t="shared" si="2"/>
        <v>T2: One API</v>
      </c>
      <c r="B50" s="9" t="s">
        <v>56</v>
      </c>
      <c r="C50" s="13" t="str">
        <f>HYPERLINK("https://redhat.atlassian.net/browse/RHAISTRAT-1361","RHAISTRAT-1361")</f>
        <v>RHAISTRAT-1361</v>
      </c>
      <c r="D50" s="9" t="s">
        <v>240</v>
      </c>
      <c r="E50" s="9" t="s">
        <v>116</v>
      </c>
      <c r="F50" s="9" t="s">
        <v>44</v>
      </c>
      <c r="G50" s="9" t="s">
        <v>241</v>
      </c>
      <c r="H50" s="9" t="s">
        <v>112</v>
      </c>
      <c r="I50" s="9"/>
      <c r="J50" s="9" t="s">
        <v>94</v>
      </c>
    </row>
    <row r="51">
      <c r="A51" s="13" t="str">
        <f t="shared" si="2"/>
        <v>T2: One API</v>
      </c>
      <c r="B51" s="9" t="s">
        <v>56</v>
      </c>
      <c r="C51" s="13" t="str">
        <f>HYPERLINK("https://redhat.atlassian.net/browse/RHAISTRAT-1362","RHAISTRAT-1362")</f>
        <v>RHAISTRAT-1362</v>
      </c>
      <c r="D51" s="9" t="s">
        <v>242</v>
      </c>
      <c r="E51" s="9" t="s">
        <v>116</v>
      </c>
      <c r="F51" s="9" t="s">
        <v>44</v>
      </c>
      <c r="G51" s="9" t="s">
        <v>118</v>
      </c>
      <c r="H51" s="9" t="s">
        <v>112</v>
      </c>
      <c r="I51" s="9"/>
      <c r="J51" s="9" t="s">
        <v>94</v>
      </c>
    </row>
    <row r="52">
      <c r="A52" s="13" t="str">
        <f t="shared" si="2"/>
        <v>T2: One API</v>
      </c>
      <c r="B52" s="9" t="s">
        <v>56</v>
      </c>
      <c r="C52" s="13" t="str">
        <f>HYPERLINK("https://redhat.atlassian.net/browse/RHAISTRAT-1373","RHAISTRAT-1373")</f>
        <v>RHAISTRAT-1373</v>
      </c>
      <c r="D52" s="9" t="s">
        <v>243</v>
      </c>
      <c r="E52" s="9" t="s">
        <v>116</v>
      </c>
      <c r="F52" s="9" t="s">
        <v>148</v>
      </c>
      <c r="G52" s="9" t="s">
        <v>244</v>
      </c>
      <c r="H52" s="9" t="s">
        <v>112</v>
      </c>
      <c r="I52" s="9"/>
      <c r="J52" s="9" t="s">
        <v>94</v>
      </c>
    </row>
    <row r="53">
      <c r="A53" s="13" t="str">
        <f t="shared" si="2"/>
        <v>T2: One API</v>
      </c>
      <c r="B53" s="9" t="s">
        <v>56</v>
      </c>
      <c r="C53" s="13" t="str">
        <f>HYPERLINK("https://redhat.atlassian.net/browse/RHAISTRAT-1374","RHAISTRAT-1374")</f>
        <v>RHAISTRAT-1374</v>
      </c>
      <c r="D53" s="9" t="s">
        <v>245</v>
      </c>
      <c r="E53" s="9" t="s">
        <v>116</v>
      </c>
      <c r="F53" s="9" t="s">
        <v>44</v>
      </c>
      <c r="G53" s="9" t="s">
        <v>246</v>
      </c>
      <c r="H53" s="9" t="s">
        <v>112</v>
      </c>
      <c r="I53" s="9"/>
      <c r="J53" s="9" t="s">
        <v>94</v>
      </c>
    </row>
    <row r="54">
      <c r="A54" s="13" t="str">
        <f t="shared" si="2"/>
        <v>T2: One API</v>
      </c>
      <c r="B54" s="9" t="s">
        <v>56</v>
      </c>
      <c r="C54" s="13" t="str">
        <f>HYPERLINK("https://redhat.atlassian.net/browse/RHAISTRAT-65","RHAISTRAT-65")</f>
        <v>RHAISTRAT-65</v>
      </c>
      <c r="D54" s="9" t="s">
        <v>247</v>
      </c>
      <c r="E54" s="9" t="s">
        <v>116</v>
      </c>
      <c r="F54" s="9" t="s">
        <v>148</v>
      </c>
      <c r="G54" s="9" t="s">
        <v>248</v>
      </c>
      <c r="H54" s="9" t="s">
        <v>112</v>
      </c>
      <c r="I54" s="9"/>
      <c r="J54" s="9" t="s">
        <v>98</v>
      </c>
    </row>
    <row r="55">
      <c r="A55" s="13" t="str">
        <f t="shared" si="2"/>
        <v>T2: One API</v>
      </c>
      <c r="B55" s="9" t="s">
        <v>56</v>
      </c>
      <c r="C55" s="13" t="str">
        <f>HYPERLINK("https://redhat.atlassian.net/browse/RHAISTRAT-97","RHAISTRAT-97")</f>
        <v>RHAISTRAT-97</v>
      </c>
      <c r="D55" s="9" t="s">
        <v>249</v>
      </c>
      <c r="E55" s="9" t="s">
        <v>116</v>
      </c>
      <c r="F55" s="9" t="s">
        <v>148</v>
      </c>
      <c r="G55" s="9" t="s">
        <v>156</v>
      </c>
      <c r="H55" s="9" t="s">
        <v>112</v>
      </c>
      <c r="I55" s="9" t="s">
        <v>97</v>
      </c>
      <c r="J55" s="9" t="s">
        <v>98</v>
      </c>
    </row>
    <row r="56">
      <c r="A56" s="13" t="str">
        <f t="shared" si="2"/>
        <v>T2: One API</v>
      </c>
      <c r="B56" s="9" t="s">
        <v>56</v>
      </c>
      <c r="C56" s="13" t="str">
        <f>HYPERLINK("https://redhat.atlassian.net/browse/RHAISTRAT-954","RHAISTRAT-954")</f>
        <v>RHAISTRAT-954</v>
      </c>
      <c r="D56" s="9" t="s">
        <v>250</v>
      </c>
      <c r="E56" s="9" t="s">
        <v>237</v>
      </c>
      <c r="F56" s="9" t="s">
        <v>46</v>
      </c>
      <c r="G56" s="9" t="s">
        <v>246</v>
      </c>
      <c r="H56" s="9" t="s">
        <v>112</v>
      </c>
      <c r="I56" s="9"/>
      <c r="J56" s="9" t="s">
        <v>98</v>
      </c>
    </row>
    <row r="57">
      <c r="A57" s="13" t="str">
        <f t="shared" si="2"/>
        <v>T2: One API</v>
      </c>
      <c r="B57" s="9" t="s">
        <v>56</v>
      </c>
      <c r="C57" s="13" t="str">
        <f>HYPERLINK("https://redhat.atlassian.net/browse/RHAISTRAT-1061","RHAISTRAT-1061")</f>
        <v>RHAISTRAT-1061</v>
      </c>
      <c r="D57" s="9" t="s">
        <v>251</v>
      </c>
      <c r="E57" s="9" t="s">
        <v>116</v>
      </c>
      <c r="F57" s="9" t="s">
        <v>117</v>
      </c>
      <c r="G57" s="9" t="s">
        <v>244</v>
      </c>
      <c r="H57" s="9" t="s">
        <v>119</v>
      </c>
      <c r="I57" s="9" t="s">
        <v>97</v>
      </c>
      <c r="J57" s="9" t="s">
        <v>98</v>
      </c>
    </row>
    <row r="58">
      <c r="A58" s="13" t="str">
        <f t="shared" si="2"/>
        <v>T2: One API</v>
      </c>
      <c r="B58" s="9" t="s">
        <v>56</v>
      </c>
      <c r="C58" s="13" t="str">
        <f>HYPERLINK("https://redhat.atlassian.net/browse/RHAISTRAT-1072","RHAISTRAT-1072")</f>
        <v>RHAISTRAT-1072</v>
      </c>
      <c r="D58" s="9" t="s">
        <v>252</v>
      </c>
      <c r="E58" s="9" t="s">
        <v>237</v>
      </c>
      <c r="F58" s="9" t="s">
        <v>173</v>
      </c>
      <c r="G58" s="9" t="s">
        <v>199</v>
      </c>
      <c r="H58" s="9" t="s">
        <v>112</v>
      </c>
      <c r="I58" s="9" t="s">
        <v>179</v>
      </c>
      <c r="J58" s="9" t="s">
        <v>98</v>
      </c>
    </row>
    <row r="59">
      <c r="A59" s="13" t="str">
        <f t="shared" si="2"/>
        <v>T2: One API</v>
      </c>
      <c r="B59" s="9" t="s">
        <v>56</v>
      </c>
      <c r="C59" s="13" t="str">
        <f>HYPERLINK("https://redhat.atlassian.net/browse/RHAISTRAT-1248","RHAISTRAT-1248")</f>
        <v>RHAISTRAT-1248</v>
      </c>
      <c r="D59" s="9" t="s">
        <v>253</v>
      </c>
      <c r="E59" s="9" t="s">
        <v>116</v>
      </c>
      <c r="F59" s="9" t="s">
        <v>148</v>
      </c>
      <c r="G59" s="9" t="s">
        <v>254</v>
      </c>
      <c r="H59" s="9" t="s">
        <v>255</v>
      </c>
      <c r="I59" s="9" t="s">
        <v>97</v>
      </c>
      <c r="J59" s="9" t="s">
        <v>98</v>
      </c>
    </row>
    <row r="60">
      <c r="A60" s="13" t="str">
        <f t="shared" si="2"/>
        <v>T2: One API</v>
      </c>
      <c r="B60" s="9" t="s">
        <v>56</v>
      </c>
      <c r="C60" s="13" t="str">
        <f>HYPERLINK("https://redhat.atlassian.net/browse/RHAISTRAT-1329","RHAISTRAT-1329")</f>
        <v>RHAISTRAT-1329</v>
      </c>
      <c r="D60" s="9" t="s">
        <v>256</v>
      </c>
      <c r="E60" s="9" t="s">
        <v>237</v>
      </c>
      <c r="F60" s="9" t="s">
        <v>46</v>
      </c>
      <c r="G60" s="9" t="s">
        <v>246</v>
      </c>
      <c r="H60" s="9" t="s">
        <v>112</v>
      </c>
      <c r="I60" s="9"/>
      <c r="J60" s="9" t="s">
        <v>84</v>
      </c>
    </row>
    <row r="61">
      <c r="A61" s="13" t="str">
        <f t="shared" si="2"/>
        <v>T2: One API</v>
      </c>
      <c r="B61" s="9" t="s">
        <v>57</v>
      </c>
      <c r="C61" s="13" t="str">
        <f>HYPERLINK("https://redhat.atlassian.net/browse/RHAISTRAT-1148","RHAISTRAT-1148")</f>
        <v>RHAISTRAT-1148</v>
      </c>
      <c r="D61" s="9" t="s">
        <v>257</v>
      </c>
      <c r="E61" s="9" t="s">
        <v>116</v>
      </c>
      <c r="F61" s="9" t="s">
        <v>46</v>
      </c>
      <c r="G61" s="9" t="s">
        <v>258</v>
      </c>
      <c r="H61" s="9" t="s">
        <v>119</v>
      </c>
      <c r="I61" s="9" t="s">
        <v>187</v>
      </c>
      <c r="J61" s="9" t="s">
        <v>94</v>
      </c>
    </row>
    <row r="62">
      <c r="A62" s="13" t="str">
        <f t="shared" si="2"/>
        <v>T2: One API</v>
      </c>
      <c r="B62" s="9" t="s">
        <v>57</v>
      </c>
      <c r="C62" s="13" t="str">
        <f>HYPERLINK("https://redhat.atlassian.net/browse/RHAISTRAT-1106","RHAISTRAT-1106")</f>
        <v>RHAISTRAT-1106</v>
      </c>
      <c r="D62" s="9" t="s">
        <v>259</v>
      </c>
      <c r="E62" s="9" t="s">
        <v>116</v>
      </c>
      <c r="F62" s="9" t="s">
        <v>173</v>
      </c>
      <c r="G62" s="9" t="s">
        <v>111</v>
      </c>
      <c r="H62" s="9" t="s">
        <v>119</v>
      </c>
      <c r="I62" s="9" t="s">
        <v>170</v>
      </c>
      <c r="J62" s="9" t="s">
        <v>98</v>
      </c>
    </row>
    <row r="63">
      <c r="A63" s="13" t="str">
        <f t="shared" si="2"/>
        <v>T2: One API</v>
      </c>
      <c r="B63" s="9" t="s">
        <v>57</v>
      </c>
      <c r="C63" s="13" t="str">
        <f>HYPERLINK("https://redhat.atlassian.net/browse/RHAISTRAT-1196","RHAISTRAT-1196")</f>
        <v>RHAISTRAT-1196</v>
      </c>
      <c r="D63" s="9" t="s">
        <v>260</v>
      </c>
      <c r="E63" s="9" t="s">
        <v>116</v>
      </c>
      <c r="F63" s="9" t="s">
        <v>117</v>
      </c>
      <c r="G63" s="9" t="s">
        <v>241</v>
      </c>
      <c r="H63" s="9" t="s">
        <v>112</v>
      </c>
      <c r="I63" s="9" t="s">
        <v>187</v>
      </c>
      <c r="J63" s="9" t="s">
        <v>98</v>
      </c>
    </row>
    <row r="64">
      <c r="A64" s="13" t="str">
        <f t="shared" si="2"/>
        <v>T2: One API</v>
      </c>
      <c r="B64" s="9" t="s">
        <v>57</v>
      </c>
      <c r="C64" s="13" t="str">
        <f>HYPERLINK("https://redhat.atlassian.net/browse/RHAISTRAT-1321","RHAISTRAT-1321")</f>
        <v>RHAISTRAT-1321</v>
      </c>
      <c r="D64" s="9" t="s">
        <v>261</v>
      </c>
      <c r="E64" s="9" t="s">
        <v>116</v>
      </c>
      <c r="F64" s="9" t="s">
        <v>44</v>
      </c>
      <c r="G64" s="9" t="s">
        <v>241</v>
      </c>
      <c r="H64" s="9" t="s">
        <v>112</v>
      </c>
      <c r="I64" s="12"/>
      <c r="J64" s="9" t="s">
        <v>98</v>
      </c>
    </row>
    <row r="65">
      <c r="A65" s="13" t="str">
        <f t="shared" si="2"/>
        <v>T2: One API</v>
      </c>
      <c r="B65" s="9" t="s">
        <v>58</v>
      </c>
      <c r="C65" s="13" t="str">
        <f>HYPERLINK("https://redhat.atlassian.net/browse/RHAIRFE-1335","RHAIRFE-1335")</f>
        <v>RHAIRFE-1335</v>
      </c>
      <c r="D65" s="9" t="s">
        <v>262</v>
      </c>
      <c r="E65" s="9" t="s">
        <v>79</v>
      </c>
      <c r="F65" s="9" t="s">
        <v>44</v>
      </c>
      <c r="G65" s="9" t="s">
        <v>111</v>
      </c>
      <c r="H65" s="9" t="s">
        <v>112</v>
      </c>
      <c r="I65" s="9"/>
      <c r="J65" s="9" t="s">
        <v>94</v>
      </c>
    </row>
    <row r="66">
      <c r="A66" s="13" t="str">
        <f t="shared" si="2"/>
        <v>T2: One API</v>
      </c>
      <c r="B66" s="9" t="s">
        <v>58</v>
      </c>
      <c r="C66" s="13" t="str">
        <f>HYPERLINK("https://redhat.atlassian.net/browse/RHAIRFE-1511","RHAIRFE-1511")</f>
        <v>RHAIRFE-1511</v>
      </c>
      <c r="D66" s="9" t="s">
        <v>263</v>
      </c>
      <c r="E66" s="9" t="s">
        <v>79</v>
      </c>
      <c r="F66" s="9" t="s">
        <v>44</v>
      </c>
      <c r="G66" s="9" t="s">
        <v>111</v>
      </c>
      <c r="H66" s="9" t="s">
        <v>112</v>
      </c>
      <c r="I66" s="9"/>
      <c r="J66" s="9" t="s">
        <v>98</v>
      </c>
    </row>
    <row r="67">
      <c r="A67" s="13" t="str">
        <f t="shared" si="2"/>
        <v>T2: One API</v>
      </c>
      <c r="B67" s="9" t="s">
        <v>58</v>
      </c>
      <c r="C67" s="13" t="str">
        <f>HYPERLINK("https://redhat.atlassian.net/browse/RHAISTRAT-1245","RHAISTRAT-1245")</f>
        <v>RHAISTRAT-1245</v>
      </c>
      <c r="D67" s="9" t="s">
        <v>264</v>
      </c>
      <c r="E67" s="9" t="s">
        <v>116</v>
      </c>
      <c r="F67" s="9" t="s">
        <v>148</v>
      </c>
      <c r="G67" s="9" t="s">
        <v>246</v>
      </c>
      <c r="H67" s="9" t="s">
        <v>112</v>
      </c>
      <c r="I67" s="9" t="s">
        <v>97</v>
      </c>
      <c r="J67" s="9" t="s">
        <v>84</v>
      </c>
    </row>
    <row r="68">
      <c r="A68" s="13" t="str">
        <f t="shared" si="2"/>
        <v>T2: One API</v>
      </c>
      <c r="B68" s="9" t="s">
        <v>58</v>
      </c>
      <c r="C68" s="13" t="str">
        <f>HYPERLINK("https://redhat.atlassian.net/browse/RHAISTRAT-1246","RHAISTRAT-1246")</f>
        <v>RHAISTRAT-1246</v>
      </c>
      <c r="D68" s="9" t="s">
        <v>265</v>
      </c>
      <c r="E68" s="9" t="s">
        <v>116</v>
      </c>
      <c r="F68" s="9" t="s">
        <v>148</v>
      </c>
      <c r="G68" s="9" t="s">
        <v>258</v>
      </c>
      <c r="H68" s="9" t="s">
        <v>119</v>
      </c>
      <c r="I68" s="9" t="s">
        <v>208</v>
      </c>
      <c r="J68" s="9" t="s">
        <v>84</v>
      </c>
    </row>
    <row r="69">
      <c r="A69" s="13" t="str">
        <f t="shared" si="2"/>
        <v>T2: One API</v>
      </c>
      <c r="B69" s="9" t="s">
        <v>59</v>
      </c>
      <c r="C69" s="13" t="str">
        <f>HYPERLINK("https://redhat.atlassian.net/browse/RHAISTRAT-58","RHAISTRAT-58")</f>
        <v>RHAISTRAT-58</v>
      </c>
      <c r="D69" s="9" t="s">
        <v>266</v>
      </c>
      <c r="E69" s="9" t="s">
        <v>116</v>
      </c>
      <c r="F69" s="9" t="s">
        <v>46</v>
      </c>
      <c r="G69" s="9" t="s">
        <v>91</v>
      </c>
      <c r="H69" s="9" t="s">
        <v>267</v>
      </c>
      <c r="I69" s="9" t="s">
        <v>268</v>
      </c>
      <c r="J69" s="9" t="s">
        <v>94</v>
      </c>
    </row>
    <row r="70">
      <c r="A70" s="13" t="str">
        <f t="shared" si="2"/>
        <v>T2: One API</v>
      </c>
      <c r="B70" s="9" t="s">
        <v>59</v>
      </c>
      <c r="C70" s="13" t="str">
        <f>HYPERLINK("https://redhat.atlassian.net/browse/RHAIRFE-1559","RHAIRFE-1559")</f>
        <v>RHAIRFE-1559</v>
      </c>
      <c r="D70" s="9" t="s">
        <v>269</v>
      </c>
      <c r="E70" s="9" t="s">
        <v>79</v>
      </c>
      <c r="F70" s="9" t="s">
        <v>80</v>
      </c>
      <c r="G70" s="9" t="s">
        <v>111</v>
      </c>
      <c r="H70" s="9" t="s">
        <v>112</v>
      </c>
      <c r="I70" s="9"/>
      <c r="J70" s="9" t="s">
        <v>98</v>
      </c>
    </row>
    <row r="71">
      <c r="A71" s="13" t="str">
        <f t="shared" si="2"/>
        <v>T2: One API</v>
      </c>
      <c r="B71" s="9" t="s">
        <v>59</v>
      </c>
      <c r="C71" s="13" t="str">
        <f>HYPERLINK("https://redhat.atlassian.net/browse/RHAIRFE-1562","RHAIRFE-1562")</f>
        <v>RHAIRFE-1562</v>
      </c>
      <c r="D71" s="9" t="s">
        <v>270</v>
      </c>
      <c r="E71" s="9" t="s">
        <v>79</v>
      </c>
      <c r="F71" s="9" t="s">
        <v>44</v>
      </c>
      <c r="G71" s="9" t="s">
        <v>91</v>
      </c>
      <c r="H71" s="9" t="s">
        <v>88</v>
      </c>
      <c r="I71" s="9"/>
      <c r="J71" s="9" t="s">
        <v>98</v>
      </c>
    </row>
    <row r="72">
      <c r="A72" s="13" t="str">
        <f t="shared" si="2"/>
        <v>T2: One API</v>
      </c>
      <c r="B72" s="9" t="s">
        <v>59</v>
      </c>
      <c r="C72" s="13" t="str">
        <f>HYPERLINK("https://redhat.atlassian.net/browse/RHAISTRAT-1133","RHAISTRAT-1133")</f>
        <v>RHAISTRAT-1133</v>
      </c>
      <c r="D72" s="9" t="s">
        <v>271</v>
      </c>
      <c r="E72" s="9" t="s">
        <v>237</v>
      </c>
      <c r="F72" s="9" t="s">
        <v>46</v>
      </c>
      <c r="G72" s="9" t="s">
        <v>111</v>
      </c>
      <c r="H72" s="9" t="s">
        <v>112</v>
      </c>
      <c r="I72" s="9" t="s">
        <v>179</v>
      </c>
      <c r="J72" s="9" t="s">
        <v>98</v>
      </c>
    </row>
    <row r="73">
      <c r="A73" s="13" t="str">
        <f t="shared" ref="A73:A88" si="3">HYPERLINK("https://redhat.atlassian.net/browse/HATSTRAT-316","T3: Tools to Swarms")</f>
        <v>T3: Tools to Swarms</v>
      </c>
      <c r="B73" s="9" t="s">
        <v>272</v>
      </c>
      <c r="C73" s="13" t="str">
        <f>HYPERLINK("https://redhat.atlassian.net/browse/RHAIRFE-1064","RHAIRFE-1064")</f>
        <v>RHAIRFE-1064</v>
      </c>
      <c r="D73" s="9" t="s">
        <v>273</v>
      </c>
      <c r="E73" s="9" t="s">
        <v>79</v>
      </c>
      <c r="F73" s="9" t="s">
        <v>80</v>
      </c>
      <c r="G73" s="9" t="s">
        <v>156</v>
      </c>
      <c r="H73" s="9" t="s">
        <v>274</v>
      </c>
      <c r="I73" s="9" t="s">
        <v>97</v>
      </c>
      <c r="J73" s="9" t="s">
        <v>98</v>
      </c>
    </row>
    <row r="74">
      <c r="A74" s="13" t="str">
        <f t="shared" si="3"/>
        <v>T3: Tools to Swarms</v>
      </c>
      <c r="B74" s="9" t="s">
        <v>272</v>
      </c>
      <c r="C74" s="13" t="str">
        <f>HYPERLINK("https://redhat.atlassian.net/browse/RHAIRFE-1557","RHAIRFE-1557")</f>
        <v>RHAIRFE-1557</v>
      </c>
      <c r="D74" s="9" t="s">
        <v>275</v>
      </c>
      <c r="E74" s="9" t="s">
        <v>79</v>
      </c>
      <c r="F74" s="9" t="s">
        <v>44</v>
      </c>
      <c r="G74" s="9" t="s">
        <v>156</v>
      </c>
      <c r="H74" s="9" t="s">
        <v>88</v>
      </c>
      <c r="I74" s="12"/>
      <c r="J74" s="9" t="s">
        <v>98</v>
      </c>
    </row>
    <row r="75">
      <c r="A75" s="13" t="str">
        <f t="shared" si="3"/>
        <v>T3: Tools to Swarms</v>
      </c>
      <c r="B75" s="9" t="s">
        <v>272</v>
      </c>
      <c r="C75" s="13" t="str">
        <f>HYPERLINK("https://redhat.atlassian.net/browse/RHAIRFE-1565","RHAIRFE-1565")</f>
        <v>RHAIRFE-1565</v>
      </c>
      <c r="D75" s="9" t="s">
        <v>276</v>
      </c>
      <c r="E75" s="9" t="s">
        <v>79</v>
      </c>
      <c r="F75" s="9" t="s">
        <v>44</v>
      </c>
      <c r="G75" s="9" t="s">
        <v>156</v>
      </c>
      <c r="H75" s="9" t="s">
        <v>112</v>
      </c>
      <c r="I75" s="9"/>
      <c r="J75" s="9" t="s">
        <v>98</v>
      </c>
    </row>
    <row r="76">
      <c r="A76" s="13" t="str">
        <f t="shared" si="3"/>
        <v>T3: Tools to Swarms</v>
      </c>
      <c r="B76" s="9" t="s">
        <v>272</v>
      </c>
      <c r="C76" s="13" t="str">
        <f>HYPERLINK("https://redhat.atlassian.net/browse/RHAIRFE-1567","RHAIRFE-1567")</f>
        <v>RHAIRFE-1567</v>
      </c>
      <c r="D76" s="9" t="s">
        <v>277</v>
      </c>
      <c r="E76" s="9" t="s">
        <v>79</v>
      </c>
      <c r="F76" s="9" t="s">
        <v>44</v>
      </c>
      <c r="G76" s="9" t="s">
        <v>156</v>
      </c>
      <c r="H76" s="9" t="s">
        <v>278</v>
      </c>
      <c r="I76" s="9"/>
      <c r="J76" s="9" t="s">
        <v>98</v>
      </c>
    </row>
    <row r="77">
      <c r="A77" s="13" t="str">
        <f t="shared" si="3"/>
        <v>T3: Tools to Swarms</v>
      </c>
      <c r="B77" s="9" t="s">
        <v>272</v>
      </c>
      <c r="C77" s="13" t="str">
        <f>HYPERLINK("https://redhat.atlassian.net/browse/RHAISTRAT-1215","RHAISTRAT-1215")</f>
        <v>RHAISTRAT-1215</v>
      </c>
      <c r="D77" s="9" t="s">
        <v>279</v>
      </c>
      <c r="E77" s="9" t="s">
        <v>116</v>
      </c>
      <c r="F77" s="9" t="s">
        <v>46</v>
      </c>
      <c r="G77" s="9" t="s">
        <v>149</v>
      </c>
      <c r="H77" s="9" t="s">
        <v>158</v>
      </c>
      <c r="I77" s="9" t="s">
        <v>83</v>
      </c>
      <c r="J77" s="9" t="s">
        <v>98</v>
      </c>
    </row>
    <row r="78">
      <c r="A78" s="13" t="str">
        <f t="shared" si="3"/>
        <v>T3: Tools to Swarms</v>
      </c>
      <c r="B78" s="9" t="s">
        <v>272</v>
      </c>
      <c r="C78" s="13" t="str">
        <f>HYPERLINK("https://redhat.atlassian.net/browse/RHAISTRAT-1436","RHAISTRAT-1436")</f>
        <v>RHAISTRAT-1436</v>
      </c>
      <c r="D78" s="9" t="s">
        <v>102</v>
      </c>
      <c r="E78" s="9" t="s">
        <v>116</v>
      </c>
      <c r="F78" s="9" t="s">
        <v>44</v>
      </c>
      <c r="G78" s="9" t="s">
        <v>156</v>
      </c>
      <c r="H78" s="9" t="s">
        <v>158</v>
      </c>
      <c r="I78" s="9"/>
      <c r="J78" s="9" t="s">
        <v>98</v>
      </c>
    </row>
    <row r="79">
      <c r="A79" s="13" t="str">
        <f t="shared" si="3"/>
        <v>T3: Tools to Swarms</v>
      </c>
      <c r="B79" s="9" t="s">
        <v>61</v>
      </c>
      <c r="C79" s="13" t="str">
        <f>HYPERLINK("https://redhat.atlassian.net/browse/RHAISTRAT-1084","RHAISTRAT-1084")</f>
        <v>RHAISTRAT-1084</v>
      </c>
      <c r="D79" s="9" t="s">
        <v>280</v>
      </c>
      <c r="E79" s="9" t="s">
        <v>116</v>
      </c>
      <c r="F79" s="9" t="s">
        <v>46</v>
      </c>
      <c r="G79" s="9" t="s">
        <v>103</v>
      </c>
      <c r="H79" s="9" t="s">
        <v>281</v>
      </c>
      <c r="I79" s="9" t="s">
        <v>204</v>
      </c>
      <c r="J79" s="9" t="s">
        <v>94</v>
      </c>
    </row>
    <row r="80">
      <c r="A80" s="13" t="str">
        <f t="shared" si="3"/>
        <v>T3: Tools to Swarms</v>
      </c>
      <c r="B80" s="9" t="s">
        <v>61</v>
      </c>
      <c r="C80" s="13" t="str">
        <f>HYPERLINK("https://redhat.atlassian.net/browse/RHAISTRAT-1149","RHAISTRAT-1149")</f>
        <v>RHAISTRAT-1149</v>
      </c>
      <c r="D80" s="9" t="s">
        <v>282</v>
      </c>
      <c r="E80" s="9" t="s">
        <v>116</v>
      </c>
      <c r="F80" s="9" t="s">
        <v>283</v>
      </c>
      <c r="G80" s="9" t="s">
        <v>91</v>
      </c>
      <c r="H80" s="9" t="s">
        <v>284</v>
      </c>
      <c r="I80" s="9" t="s">
        <v>204</v>
      </c>
      <c r="J80" s="9" t="s">
        <v>98</v>
      </c>
    </row>
    <row r="81">
      <c r="A81" s="13" t="str">
        <f t="shared" si="3"/>
        <v>T3: Tools to Swarms</v>
      </c>
      <c r="B81" s="9" t="s">
        <v>61</v>
      </c>
      <c r="C81" s="13" t="str">
        <f>HYPERLINK("https://redhat.atlassian.net/browse/RHAISTRAT-1306","RHAISTRAT-1306")</f>
        <v>RHAISTRAT-1306</v>
      </c>
      <c r="D81" s="9" t="s">
        <v>285</v>
      </c>
      <c r="E81" s="9" t="s">
        <v>116</v>
      </c>
      <c r="F81" s="9" t="s">
        <v>117</v>
      </c>
      <c r="G81" s="9" t="s">
        <v>103</v>
      </c>
      <c r="H81" s="9" t="s">
        <v>160</v>
      </c>
      <c r="I81" s="9"/>
      <c r="J81" s="9" t="s">
        <v>98</v>
      </c>
    </row>
    <row r="82">
      <c r="A82" s="13" t="str">
        <f t="shared" si="3"/>
        <v>T3: Tools to Swarms</v>
      </c>
      <c r="B82" s="9" t="s">
        <v>62</v>
      </c>
      <c r="C82" s="13" t="str">
        <f>HYPERLINK("https://redhat.atlassian.net/browse/RHAIRFE-714","RHAIRFE-714")</f>
        <v>RHAIRFE-714</v>
      </c>
      <c r="D82" s="9" t="s">
        <v>286</v>
      </c>
      <c r="E82" s="9" t="s">
        <v>79</v>
      </c>
      <c r="F82" s="9" t="s">
        <v>287</v>
      </c>
      <c r="G82" s="9" t="s">
        <v>162</v>
      </c>
      <c r="H82" s="9" t="s">
        <v>288</v>
      </c>
      <c r="I82" s="9" t="s">
        <v>83</v>
      </c>
      <c r="J82" s="9" t="s">
        <v>98</v>
      </c>
    </row>
    <row r="83">
      <c r="A83" s="13" t="str">
        <f t="shared" si="3"/>
        <v>T3: Tools to Swarms</v>
      </c>
      <c r="B83" s="9" t="s">
        <v>62</v>
      </c>
      <c r="C83" s="13" t="str">
        <f>HYPERLINK("https://redhat.atlassian.net/browse/RHAISTRAT-960","RHAISTRAT-960")</f>
        <v>RHAISTRAT-960</v>
      </c>
      <c r="D83" s="9" t="s">
        <v>289</v>
      </c>
      <c r="E83" s="9" t="s">
        <v>116</v>
      </c>
      <c r="F83" s="9" t="s">
        <v>44</v>
      </c>
      <c r="G83" s="9" t="s">
        <v>290</v>
      </c>
      <c r="H83" s="9" t="s">
        <v>104</v>
      </c>
      <c r="I83" s="9" t="s">
        <v>164</v>
      </c>
      <c r="J83" s="9" t="s">
        <v>98</v>
      </c>
    </row>
    <row r="84">
      <c r="A84" s="13" t="str">
        <f t="shared" si="3"/>
        <v>T3: Tools to Swarms</v>
      </c>
      <c r="B84" s="9" t="s">
        <v>63</v>
      </c>
      <c r="C84" s="13" t="str">
        <f>HYPERLINK("https://redhat.atlassian.net/browse/RHAISTRAT-138","RHAISTRAT-138")</f>
        <v>RHAISTRAT-138</v>
      </c>
      <c r="D84" s="9" t="s">
        <v>291</v>
      </c>
      <c r="E84" s="9" t="s">
        <v>116</v>
      </c>
      <c r="F84" s="9" t="s">
        <v>44</v>
      </c>
      <c r="G84" s="9" t="s">
        <v>100</v>
      </c>
      <c r="H84" s="9" t="s">
        <v>104</v>
      </c>
      <c r="I84" s="9" t="s">
        <v>97</v>
      </c>
      <c r="J84" s="9" t="s">
        <v>94</v>
      </c>
    </row>
    <row r="85">
      <c r="A85" s="13" t="str">
        <f t="shared" si="3"/>
        <v>T3: Tools to Swarms</v>
      </c>
      <c r="B85" s="9" t="s">
        <v>63</v>
      </c>
      <c r="C85" s="13" t="str">
        <f>HYPERLINK("https://redhat.atlassian.net/browse/RHAIRFE-1456","RHAIRFE-1456")</f>
        <v>RHAIRFE-1456</v>
      </c>
      <c r="D85" s="9" t="s">
        <v>292</v>
      </c>
      <c r="E85" s="9" t="s">
        <v>79</v>
      </c>
      <c r="F85" s="9" t="s">
        <v>44</v>
      </c>
      <c r="G85" s="9" t="s">
        <v>293</v>
      </c>
      <c r="H85" s="9" t="s">
        <v>294</v>
      </c>
      <c r="I85" s="9" t="s">
        <v>97</v>
      </c>
      <c r="J85" s="9" t="s">
        <v>98</v>
      </c>
    </row>
    <row r="86">
      <c r="A86" s="13" t="str">
        <f t="shared" si="3"/>
        <v>T3: Tools to Swarms</v>
      </c>
      <c r="B86" s="9" t="s">
        <v>63</v>
      </c>
      <c r="C86" s="13" t="str">
        <f>HYPERLINK("https://redhat.atlassian.net/browse/RHAIRFE-1457","RHAIRFE-1457")</f>
        <v>RHAIRFE-1457</v>
      </c>
      <c r="D86" s="9" t="s">
        <v>295</v>
      </c>
      <c r="E86" s="9" t="s">
        <v>79</v>
      </c>
      <c r="F86" s="9" t="s">
        <v>80</v>
      </c>
      <c r="G86" s="9" t="s">
        <v>293</v>
      </c>
      <c r="H86" s="9" t="s">
        <v>296</v>
      </c>
      <c r="I86" s="9" t="s">
        <v>97</v>
      </c>
      <c r="J86" s="9" t="s">
        <v>98</v>
      </c>
    </row>
    <row r="87">
      <c r="A87" s="13" t="str">
        <f t="shared" si="3"/>
        <v>T3: Tools to Swarms</v>
      </c>
      <c r="B87" s="9" t="s">
        <v>63</v>
      </c>
      <c r="C87" s="13" t="str">
        <f>HYPERLINK("https://redhat.atlassian.net/browse/RHAIRFE-1458","RHAIRFE-1458")</f>
        <v>RHAIRFE-1458</v>
      </c>
      <c r="D87" s="9" t="s">
        <v>297</v>
      </c>
      <c r="E87" s="9" t="s">
        <v>79</v>
      </c>
      <c r="F87" s="9" t="s">
        <v>44</v>
      </c>
      <c r="G87" s="9" t="s">
        <v>290</v>
      </c>
      <c r="H87" s="9"/>
      <c r="I87" s="9" t="s">
        <v>298</v>
      </c>
      <c r="J87" s="9" t="s">
        <v>84</v>
      </c>
    </row>
    <row r="88">
      <c r="A88" s="13" t="str">
        <f t="shared" si="3"/>
        <v>T3: Tools to Swarms</v>
      </c>
      <c r="B88" s="9" t="s">
        <v>64</v>
      </c>
      <c r="C88" s="13" t="str">
        <f>HYPERLINK("https://redhat.atlassian.net/browse/RHAIRFE-397","RHAIRFE-397")</f>
        <v>RHAIRFE-397</v>
      </c>
      <c r="D88" s="9" t="s">
        <v>299</v>
      </c>
      <c r="E88" s="9" t="s">
        <v>79</v>
      </c>
      <c r="F88" s="9" t="s">
        <v>80</v>
      </c>
      <c r="G88" s="9" t="s">
        <v>290</v>
      </c>
      <c r="H88" s="9" t="s">
        <v>300</v>
      </c>
      <c r="I88" s="9" t="s">
        <v>83</v>
      </c>
      <c r="J88" s="9" t="s">
        <v>94</v>
      </c>
    </row>
    <row r="89">
      <c r="A89" s="13" t="str">
        <f t="shared" ref="A89:A91" si="4">HYPERLINK("https://redhat.atlassian.net/browse/HATSTRAT-317","T4: Inference")</f>
        <v>T4: Inference</v>
      </c>
      <c r="B89" s="9" t="s">
        <v>65</v>
      </c>
      <c r="C89" s="13" t="str">
        <f>HYPERLINK("https://redhat.atlassian.net/browse/RHAISTRAT-951","RHAISTRAT-951")</f>
        <v>RHAISTRAT-951</v>
      </c>
      <c r="D89" s="9" t="s">
        <v>301</v>
      </c>
      <c r="E89" s="9" t="s">
        <v>116</v>
      </c>
      <c r="F89" s="9" t="s">
        <v>302</v>
      </c>
      <c r="G89" s="9" t="s">
        <v>303</v>
      </c>
      <c r="H89" s="9" t="s">
        <v>112</v>
      </c>
      <c r="I89" s="9"/>
      <c r="J89" s="9" t="s">
        <v>84</v>
      </c>
    </row>
    <row r="90">
      <c r="A90" s="13" t="str">
        <f t="shared" si="4"/>
        <v>T4: Inference</v>
      </c>
      <c r="B90" s="9" t="s">
        <v>65</v>
      </c>
      <c r="C90" s="13" t="str">
        <f>HYPERLINK("https://redhat.atlassian.net/browse/RHAIRFE-975","RHAIRFE-975")</f>
        <v>RHAIRFE-975</v>
      </c>
      <c r="D90" s="9" t="s">
        <v>304</v>
      </c>
      <c r="E90" s="9" t="s">
        <v>79</v>
      </c>
      <c r="F90" s="9" t="s">
        <v>287</v>
      </c>
      <c r="G90" s="9" t="s">
        <v>111</v>
      </c>
      <c r="H90" s="9" t="s">
        <v>112</v>
      </c>
      <c r="I90" s="9"/>
      <c r="J90" s="9" t="s">
        <v>196</v>
      </c>
    </row>
    <row r="91">
      <c r="A91" s="13" t="str">
        <f t="shared" si="4"/>
        <v>T4: Inference</v>
      </c>
      <c r="B91" s="9" t="s">
        <v>66</v>
      </c>
      <c r="C91" s="13" t="str">
        <f>HYPERLINK("https://redhat.atlassian.net/browse/RHAISTRAT-1165","RHAISTRAT-1165")</f>
        <v>RHAISTRAT-1165</v>
      </c>
      <c r="D91" s="9" t="s">
        <v>305</v>
      </c>
      <c r="E91" s="9" t="s">
        <v>116</v>
      </c>
      <c r="F91" s="9" t="s">
        <v>44</v>
      </c>
      <c r="G91" s="9" t="s">
        <v>306</v>
      </c>
      <c r="H91" s="9" t="s">
        <v>307</v>
      </c>
      <c r="I91" s="9"/>
      <c r="J91" s="9" t="s">
        <v>98</v>
      </c>
    </row>
    <row r="92">
      <c r="A92" s="13" t="str">
        <f t="shared" ref="A92:A116" si="5">HYPERLINK("https://redhat.atlassian.net/browse/HATSTRAT-318","T5: First Agent")</f>
        <v>T5: First Agent</v>
      </c>
      <c r="B92" s="9" t="s">
        <v>67</v>
      </c>
      <c r="C92" s="13" t="str">
        <f>HYPERLINK("https://redhat.atlassian.net/browse/RHAISTRAT-129","RHAISTRAT-129")</f>
        <v>RHAISTRAT-129</v>
      </c>
      <c r="D92" s="9" t="s">
        <v>308</v>
      </c>
      <c r="E92" s="9" t="s">
        <v>116</v>
      </c>
      <c r="F92" s="9" t="s">
        <v>44</v>
      </c>
      <c r="G92" s="9" t="s">
        <v>149</v>
      </c>
      <c r="H92" s="9" t="s">
        <v>309</v>
      </c>
      <c r="I92" s="12"/>
      <c r="J92" s="9" t="s">
        <v>98</v>
      </c>
    </row>
    <row r="93">
      <c r="A93" s="13" t="str">
        <f t="shared" si="5"/>
        <v>T5: First Agent</v>
      </c>
      <c r="B93" s="9" t="s">
        <v>67</v>
      </c>
      <c r="C93" s="13" t="str">
        <f>HYPERLINK("https://redhat.atlassian.net/browse/RHAISTRAT-1279","RHAISTRAT-1279")</f>
        <v>RHAISTRAT-1279</v>
      </c>
      <c r="D93" s="9" t="s">
        <v>310</v>
      </c>
      <c r="E93" s="9" t="s">
        <v>237</v>
      </c>
      <c r="F93" s="9" t="s">
        <v>44</v>
      </c>
      <c r="G93" s="9" t="s">
        <v>311</v>
      </c>
      <c r="H93" s="9" t="s">
        <v>112</v>
      </c>
      <c r="I93" s="9"/>
      <c r="J93" s="9" t="s">
        <v>84</v>
      </c>
    </row>
    <row r="94">
      <c r="A94" s="13" t="str">
        <f t="shared" si="5"/>
        <v>T5: First Agent</v>
      </c>
      <c r="B94" s="9" t="s">
        <v>67</v>
      </c>
      <c r="C94" s="13" t="str">
        <f>HYPERLINK("https://redhat.atlassian.net/browse/RHAISTRAT-1400","RHAISTRAT-1400")</f>
        <v>RHAISTRAT-1400</v>
      </c>
      <c r="D94" s="9" t="s">
        <v>312</v>
      </c>
      <c r="E94" s="9" t="s">
        <v>116</v>
      </c>
      <c r="F94" s="9" t="s">
        <v>44</v>
      </c>
      <c r="G94" s="9" t="s">
        <v>81</v>
      </c>
      <c r="H94" s="9" t="s">
        <v>112</v>
      </c>
      <c r="I94" s="9"/>
      <c r="J94" s="9" t="s">
        <v>196</v>
      </c>
    </row>
    <row r="95">
      <c r="A95" s="13" t="str">
        <f t="shared" si="5"/>
        <v>T5: First Agent</v>
      </c>
      <c r="B95" s="9" t="s">
        <v>68</v>
      </c>
      <c r="C95" s="13" t="str">
        <f>HYPERLINK("https://redhat.atlassian.net/browse/RHAISTRAT-1192","RHAISTRAT-1192")</f>
        <v>RHAISTRAT-1192</v>
      </c>
      <c r="D95" s="9" t="s">
        <v>313</v>
      </c>
      <c r="E95" s="9" t="s">
        <v>116</v>
      </c>
      <c r="F95" s="9" t="s">
        <v>46</v>
      </c>
      <c r="G95" s="9" t="s">
        <v>314</v>
      </c>
      <c r="H95" s="9" t="s">
        <v>88</v>
      </c>
      <c r="I95" s="9"/>
      <c r="J95" s="9" t="s">
        <v>94</v>
      </c>
    </row>
    <row r="96">
      <c r="A96" s="13" t="str">
        <f t="shared" si="5"/>
        <v>T5: First Agent</v>
      </c>
      <c r="B96" s="9" t="s">
        <v>68</v>
      </c>
      <c r="C96" s="13" t="str">
        <f>HYPERLINK("https://redhat.atlassian.net/browse/RHAISTRAT-1283","RHAISTRAT-1283")</f>
        <v>RHAISTRAT-1283</v>
      </c>
      <c r="D96" s="9" t="s">
        <v>315</v>
      </c>
      <c r="E96" s="9" t="s">
        <v>116</v>
      </c>
      <c r="F96" s="9" t="s">
        <v>117</v>
      </c>
      <c r="G96" s="9" t="s">
        <v>314</v>
      </c>
      <c r="H96" s="9" t="s">
        <v>88</v>
      </c>
      <c r="I96" s="9"/>
      <c r="J96" s="9" t="s">
        <v>94</v>
      </c>
    </row>
    <row r="97">
      <c r="A97" s="13" t="str">
        <f t="shared" si="5"/>
        <v>T5: First Agent</v>
      </c>
      <c r="B97" s="9" t="s">
        <v>68</v>
      </c>
      <c r="C97" s="13" t="str">
        <f>HYPERLINK("https://redhat.atlassian.net/browse/RHAIRFE-457","RHAIRFE-457")</f>
        <v>RHAIRFE-457</v>
      </c>
      <c r="D97" s="9" t="s">
        <v>316</v>
      </c>
      <c r="E97" s="9" t="s">
        <v>79</v>
      </c>
      <c r="F97" s="9" t="s">
        <v>80</v>
      </c>
      <c r="G97" s="9" t="s">
        <v>91</v>
      </c>
      <c r="H97" s="9" t="s">
        <v>88</v>
      </c>
      <c r="I97" s="9" t="s">
        <v>83</v>
      </c>
      <c r="J97" s="9" t="s">
        <v>98</v>
      </c>
    </row>
    <row r="98">
      <c r="A98" s="13" t="str">
        <f t="shared" si="5"/>
        <v>T5: First Agent</v>
      </c>
      <c r="B98" s="9" t="s">
        <v>68</v>
      </c>
      <c r="C98" s="13" t="str">
        <f>HYPERLINK("https://redhat.atlassian.net/browse/RHAIRFE-1307","RHAIRFE-1307")</f>
        <v>RHAIRFE-1307</v>
      </c>
      <c r="D98" s="9" t="s">
        <v>317</v>
      </c>
      <c r="E98" s="9" t="s">
        <v>79</v>
      </c>
      <c r="F98" s="9" t="s">
        <v>80</v>
      </c>
      <c r="G98" s="9" t="s">
        <v>91</v>
      </c>
      <c r="H98" s="9" t="s">
        <v>88</v>
      </c>
      <c r="I98" s="9"/>
      <c r="J98" s="9" t="s">
        <v>98</v>
      </c>
    </row>
    <row r="99">
      <c r="A99" s="13" t="str">
        <f t="shared" si="5"/>
        <v>T5: First Agent</v>
      </c>
      <c r="B99" s="9" t="s">
        <v>68</v>
      </c>
      <c r="C99" s="13" t="str">
        <f>HYPERLINK("https://redhat.atlassian.net/browse/RHAIRFE-1558","RHAIRFE-1558")</f>
        <v>RHAIRFE-1558</v>
      </c>
      <c r="D99" s="9" t="s">
        <v>318</v>
      </c>
      <c r="E99" s="9" t="s">
        <v>79</v>
      </c>
      <c r="F99" s="9" t="s">
        <v>44</v>
      </c>
      <c r="G99" s="9" t="s">
        <v>156</v>
      </c>
      <c r="H99" s="9" t="s">
        <v>88</v>
      </c>
      <c r="I99" s="12"/>
      <c r="J99" s="9" t="s">
        <v>98</v>
      </c>
    </row>
    <row r="100">
      <c r="A100" s="13" t="str">
        <f t="shared" si="5"/>
        <v>T5: First Agent</v>
      </c>
      <c r="B100" s="9" t="s">
        <v>68</v>
      </c>
      <c r="C100" s="13" t="str">
        <f>HYPERLINK("https://redhat.atlassian.net/browse/RHAISTRAT-1158","RHAISTRAT-1158")</f>
        <v>RHAISTRAT-1158</v>
      </c>
      <c r="D100" s="9" t="s">
        <v>319</v>
      </c>
      <c r="E100" s="9" t="s">
        <v>116</v>
      </c>
      <c r="F100" s="9" t="s">
        <v>46</v>
      </c>
      <c r="G100" s="9" t="s">
        <v>232</v>
      </c>
      <c r="H100" s="9" t="s">
        <v>320</v>
      </c>
      <c r="I100" s="9" t="s">
        <v>179</v>
      </c>
      <c r="J100" s="9" t="s">
        <v>98</v>
      </c>
    </row>
    <row r="101">
      <c r="A101" s="13" t="str">
        <f t="shared" si="5"/>
        <v>T5: First Agent</v>
      </c>
      <c r="B101" s="9" t="s">
        <v>68</v>
      </c>
      <c r="C101" s="13" t="str">
        <f>HYPERLINK("https://redhat.atlassian.net/browse/RHAISTRAT-1290","RHAISTRAT-1290")</f>
        <v>RHAISTRAT-1290</v>
      </c>
      <c r="D101" s="9" t="s">
        <v>321</v>
      </c>
      <c r="E101" s="9" t="s">
        <v>116</v>
      </c>
      <c r="F101" s="9" t="s">
        <v>117</v>
      </c>
      <c r="G101" s="9" t="s">
        <v>314</v>
      </c>
      <c r="H101" s="9" t="s">
        <v>88</v>
      </c>
      <c r="I101" s="9"/>
      <c r="J101" s="9" t="s">
        <v>98</v>
      </c>
    </row>
    <row r="102">
      <c r="A102" s="13" t="str">
        <f t="shared" si="5"/>
        <v>T5: First Agent</v>
      </c>
      <c r="B102" s="9" t="s">
        <v>68</v>
      </c>
      <c r="C102" s="13" t="str">
        <f>HYPERLINK("https://redhat.atlassian.net/browse/RHAISTRAT-1364","RHAISTRAT-1364")</f>
        <v>RHAISTRAT-1364</v>
      </c>
      <c r="D102" s="9" t="s">
        <v>322</v>
      </c>
      <c r="E102" s="9" t="s">
        <v>116</v>
      </c>
      <c r="F102" s="9" t="s">
        <v>46</v>
      </c>
      <c r="G102" s="9" t="s">
        <v>314</v>
      </c>
      <c r="H102" s="9" t="s">
        <v>88</v>
      </c>
      <c r="I102" s="12"/>
      <c r="J102" s="9" t="s">
        <v>98</v>
      </c>
    </row>
    <row r="103">
      <c r="A103" s="13" t="str">
        <f t="shared" si="5"/>
        <v>T5: First Agent</v>
      </c>
      <c r="B103" s="9" t="s">
        <v>68</v>
      </c>
      <c r="C103" s="13" t="str">
        <f>HYPERLINK("https://redhat.atlassian.net/browse/RHAISTRAT-1376","RHAISTRAT-1376")</f>
        <v>RHAISTRAT-1376</v>
      </c>
      <c r="D103" s="9" t="s">
        <v>323</v>
      </c>
      <c r="E103" s="9" t="s">
        <v>116</v>
      </c>
      <c r="F103" s="9" t="s">
        <v>44</v>
      </c>
      <c r="G103" s="9" t="s">
        <v>314</v>
      </c>
      <c r="H103" s="9" t="s">
        <v>88</v>
      </c>
      <c r="I103" s="9"/>
      <c r="J103" s="9" t="s">
        <v>98</v>
      </c>
    </row>
    <row r="104">
      <c r="A104" s="13" t="str">
        <f t="shared" si="5"/>
        <v>T5: First Agent</v>
      </c>
      <c r="B104" s="9" t="s">
        <v>68</v>
      </c>
      <c r="C104" s="13" t="str">
        <f>HYPERLINK("https://redhat.atlassian.net/browse/RHAISTRAT-1393","RHAISTRAT-1393")</f>
        <v>RHAISTRAT-1393</v>
      </c>
      <c r="D104" s="9" t="s">
        <v>324</v>
      </c>
      <c r="E104" s="9" t="s">
        <v>116</v>
      </c>
      <c r="F104" s="9" t="s">
        <v>117</v>
      </c>
      <c r="G104" s="9" t="s">
        <v>314</v>
      </c>
      <c r="H104" s="9" t="s">
        <v>88</v>
      </c>
      <c r="I104" s="12"/>
      <c r="J104" s="9" t="s">
        <v>98</v>
      </c>
    </row>
    <row r="105">
      <c r="A105" s="13" t="str">
        <f t="shared" si="5"/>
        <v>T5: First Agent</v>
      </c>
      <c r="B105" s="9" t="s">
        <v>68</v>
      </c>
      <c r="C105" s="13" t="str">
        <f>HYPERLINK("https://redhat.atlassian.net/browse/RHAISTRAT-1429","RHAISTRAT-1429")</f>
        <v>RHAISTRAT-1429</v>
      </c>
      <c r="D105" s="9" t="s">
        <v>216</v>
      </c>
      <c r="E105" s="9" t="s">
        <v>116</v>
      </c>
      <c r="F105" s="9" t="s">
        <v>44</v>
      </c>
      <c r="G105" s="9" t="s">
        <v>91</v>
      </c>
      <c r="H105" s="9" t="s">
        <v>88</v>
      </c>
      <c r="I105" s="9"/>
      <c r="J105" s="9" t="s">
        <v>84</v>
      </c>
    </row>
    <row r="106">
      <c r="A106" s="13" t="str">
        <f t="shared" si="5"/>
        <v>T5: First Agent</v>
      </c>
      <c r="B106" s="9" t="s">
        <v>69</v>
      </c>
      <c r="C106" s="13" t="str">
        <f>HYPERLINK("https://redhat.atlassian.net/browse/RHAIRFE-390","RHAIRFE-390")</f>
        <v>RHAIRFE-390</v>
      </c>
      <c r="D106" s="9" t="s">
        <v>325</v>
      </c>
      <c r="E106" s="9" t="s">
        <v>79</v>
      </c>
      <c r="F106" s="9" t="s">
        <v>44</v>
      </c>
      <c r="G106" s="9" t="s">
        <v>140</v>
      </c>
      <c r="H106" s="9" t="s">
        <v>141</v>
      </c>
      <c r="I106" s="9"/>
      <c r="J106" s="9" t="s">
        <v>94</v>
      </c>
    </row>
    <row r="107">
      <c r="A107" s="13" t="str">
        <f t="shared" si="5"/>
        <v>T5: First Agent</v>
      </c>
      <c r="B107" s="9" t="s">
        <v>69</v>
      </c>
      <c r="C107" s="13" t="str">
        <f>HYPERLINK("https://redhat.atlassian.net/browse/RHAIRFE-476","RHAIRFE-476")</f>
        <v>RHAIRFE-476</v>
      </c>
      <c r="D107" s="9" t="s">
        <v>326</v>
      </c>
      <c r="E107" s="9" t="s">
        <v>79</v>
      </c>
      <c r="F107" s="9" t="s">
        <v>44</v>
      </c>
      <c r="G107" s="9" t="s">
        <v>327</v>
      </c>
      <c r="H107" s="9" t="s">
        <v>328</v>
      </c>
      <c r="I107" s="9" t="s">
        <v>83</v>
      </c>
      <c r="J107" s="9" t="s">
        <v>94</v>
      </c>
    </row>
    <row r="108">
      <c r="A108" s="13" t="str">
        <f t="shared" si="5"/>
        <v>T5: First Agent</v>
      </c>
      <c r="B108" s="9" t="s">
        <v>69</v>
      </c>
      <c r="C108" s="13" t="str">
        <f>HYPERLINK("https://redhat.atlassian.net/browse/RHAISTRAT-133","RHAISTRAT-133")</f>
        <v>RHAISTRAT-133</v>
      </c>
      <c r="D108" s="9" t="s">
        <v>329</v>
      </c>
      <c r="E108" s="9" t="s">
        <v>116</v>
      </c>
      <c r="F108" s="9" t="s">
        <v>44</v>
      </c>
      <c r="G108" s="9" t="s">
        <v>330</v>
      </c>
      <c r="H108" s="9" t="s">
        <v>331</v>
      </c>
      <c r="I108" s="9" t="s">
        <v>97</v>
      </c>
      <c r="J108" s="9" t="s">
        <v>94</v>
      </c>
    </row>
    <row r="109">
      <c r="A109" s="13" t="str">
        <f t="shared" si="5"/>
        <v>T5: First Agent</v>
      </c>
      <c r="B109" s="9" t="s">
        <v>69</v>
      </c>
      <c r="C109" s="13" t="str">
        <f>HYPERLINK("https://redhat.atlassian.net/browse/RHAISTRAT-349","RHAISTRAT-349")</f>
        <v>RHAISTRAT-349</v>
      </c>
      <c r="D109" s="9" t="s">
        <v>332</v>
      </c>
      <c r="E109" s="9" t="s">
        <v>116</v>
      </c>
      <c r="F109" s="9" t="s">
        <v>117</v>
      </c>
      <c r="G109" s="9" t="s">
        <v>333</v>
      </c>
      <c r="H109" s="9" t="s">
        <v>141</v>
      </c>
      <c r="I109" s="9"/>
      <c r="J109" s="9" t="s">
        <v>94</v>
      </c>
    </row>
    <row r="110">
      <c r="A110" s="13" t="str">
        <f t="shared" si="5"/>
        <v>T5: First Agent</v>
      </c>
      <c r="B110" s="9" t="s">
        <v>69</v>
      </c>
      <c r="C110" s="13" t="str">
        <f>HYPERLINK("https://redhat.atlassian.net/browse/RHAIRFE-738","RHAIRFE-738")</f>
        <v>RHAIRFE-738</v>
      </c>
      <c r="D110" s="9" t="s">
        <v>334</v>
      </c>
      <c r="E110" s="9" t="s">
        <v>79</v>
      </c>
      <c r="F110" s="9" t="s">
        <v>44</v>
      </c>
      <c r="G110" s="9" t="s">
        <v>140</v>
      </c>
      <c r="H110" s="9" t="s">
        <v>141</v>
      </c>
      <c r="I110" s="9"/>
      <c r="J110" s="9" t="s">
        <v>98</v>
      </c>
    </row>
    <row r="111">
      <c r="A111" s="13" t="str">
        <f t="shared" si="5"/>
        <v>T5: First Agent</v>
      </c>
      <c r="B111" s="9" t="s">
        <v>69</v>
      </c>
      <c r="C111" s="13" t="str">
        <f>HYPERLINK("https://redhat.atlassian.net/browse/RHAIRFE-739","RHAIRFE-739")</f>
        <v>RHAIRFE-739</v>
      </c>
      <c r="D111" s="9" t="s">
        <v>335</v>
      </c>
      <c r="E111" s="9" t="s">
        <v>79</v>
      </c>
      <c r="F111" s="9" t="s">
        <v>44</v>
      </c>
      <c r="G111" s="9" t="s">
        <v>140</v>
      </c>
      <c r="H111" s="9" t="s">
        <v>141</v>
      </c>
      <c r="I111" s="9"/>
      <c r="J111" s="9" t="s">
        <v>98</v>
      </c>
    </row>
    <row r="112">
      <c r="A112" s="13" t="str">
        <f t="shared" si="5"/>
        <v>T5: First Agent</v>
      </c>
      <c r="B112" s="9" t="s">
        <v>69</v>
      </c>
      <c r="C112" s="13" t="str">
        <f>HYPERLINK("https://redhat.atlassian.net/browse/RHAIRFE-764","RHAIRFE-764")</f>
        <v>RHAIRFE-764</v>
      </c>
      <c r="D112" s="9" t="s">
        <v>336</v>
      </c>
      <c r="E112" s="9" t="s">
        <v>79</v>
      </c>
      <c r="F112" s="9" t="s">
        <v>44</v>
      </c>
      <c r="G112" s="9" t="s">
        <v>156</v>
      </c>
      <c r="H112" s="9" t="s">
        <v>141</v>
      </c>
      <c r="I112" s="9"/>
      <c r="J112" s="9" t="s">
        <v>98</v>
      </c>
    </row>
    <row r="113">
      <c r="A113" s="13" t="str">
        <f t="shared" si="5"/>
        <v>T5: First Agent</v>
      </c>
      <c r="B113" s="9" t="s">
        <v>69</v>
      </c>
      <c r="C113" s="13" t="str">
        <f>HYPERLINK("https://redhat.atlassian.net/browse/RHAISTRAT-581","RHAISTRAT-581")</f>
        <v>RHAISTRAT-581</v>
      </c>
      <c r="D113" s="9" t="s">
        <v>337</v>
      </c>
      <c r="E113" s="9" t="s">
        <v>116</v>
      </c>
      <c r="F113" s="9" t="s">
        <v>117</v>
      </c>
      <c r="G113" s="9" t="s">
        <v>338</v>
      </c>
      <c r="H113" s="9" t="s">
        <v>141</v>
      </c>
      <c r="I113" s="9"/>
      <c r="J113" s="9" t="s">
        <v>98</v>
      </c>
    </row>
    <row r="114">
      <c r="A114" s="13" t="str">
        <f t="shared" si="5"/>
        <v>T5: First Agent</v>
      </c>
      <c r="B114" s="9" t="s">
        <v>69</v>
      </c>
      <c r="C114" s="13" t="str">
        <f>HYPERLINK("https://redhat.atlassian.net/browse/RHAISTRAT-1260","RHAISTRAT-1260")</f>
        <v>RHAISTRAT-1260</v>
      </c>
      <c r="D114" s="9" t="s">
        <v>339</v>
      </c>
      <c r="E114" s="9" t="s">
        <v>116</v>
      </c>
      <c r="F114" s="9" t="s">
        <v>44</v>
      </c>
      <c r="G114" s="9" t="s">
        <v>140</v>
      </c>
      <c r="H114" s="9" t="s">
        <v>109</v>
      </c>
      <c r="I114" s="9" t="s">
        <v>187</v>
      </c>
      <c r="J114" s="9" t="s">
        <v>98</v>
      </c>
    </row>
    <row r="115">
      <c r="A115" s="13" t="str">
        <f t="shared" si="5"/>
        <v>T5: First Agent</v>
      </c>
      <c r="B115" s="9" t="s">
        <v>69</v>
      </c>
      <c r="C115" s="13" t="str">
        <f>HYPERLINK("https://redhat.atlassian.net/browse/RHAIRFE-740","RHAIRFE-740")</f>
        <v>RHAIRFE-740</v>
      </c>
      <c r="D115" s="9" t="s">
        <v>340</v>
      </c>
      <c r="E115" s="9" t="s">
        <v>79</v>
      </c>
      <c r="F115" s="9" t="s">
        <v>44</v>
      </c>
      <c r="G115" s="9" t="s">
        <v>140</v>
      </c>
      <c r="H115" s="9" t="s">
        <v>141</v>
      </c>
      <c r="I115" s="9"/>
      <c r="J115" s="9" t="s">
        <v>341</v>
      </c>
    </row>
    <row r="116">
      <c r="A116" s="13" t="str">
        <f t="shared" si="5"/>
        <v>T5: First Agent</v>
      </c>
      <c r="B116" s="9" t="s">
        <v>69</v>
      </c>
      <c r="C116" s="13" t="str">
        <f>HYPERLINK("https://redhat.atlassian.net/browse/RHAISTRAT-313","RHAISTRAT-313")</f>
        <v>RHAISTRAT-313</v>
      </c>
      <c r="D116" s="9" t="s">
        <v>342</v>
      </c>
      <c r="E116" s="9" t="s">
        <v>116</v>
      </c>
      <c r="F116" s="9" t="s">
        <v>46</v>
      </c>
      <c r="G116" s="9" t="s">
        <v>343</v>
      </c>
      <c r="H116" s="9" t="s">
        <v>344</v>
      </c>
      <c r="I116" s="9" t="s">
        <v>345</v>
      </c>
      <c r="J116" s="9" t="s">
        <v>341</v>
      </c>
    </row>
    <row r="117">
      <c r="A117" s="12"/>
      <c r="B117" s="9"/>
      <c r="C117" s="12"/>
      <c r="D117" s="9"/>
      <c r="E117" s="9"/>
      <c r="F117" s="9"/>
      <c r="G117" s="9"/>
      <c r="H117" s="9"/>
      <c r="I117" s="9"/>
      <c r="J117" s="9"/>
    </row>
    <row r="118">
      <c r="A118" s="12"/>
      <c r="B118" s="9"/>
      <c r="C118" s="12"/>
      <c r="D118" s="9"/>
      <c r="E118" s="9"/>
      <c r="F118" s="9"/>
      <c r="G118" s="9"/>
      <c r="H118" s="9"/>
      <c r="I118" s="9"/>
      <c r="J118" s="9"/>
    </row>
    <row r="119">
      <c r="A119" s="12"/>
      <c r="B119" s="9"/>
      <c r="C119" s="12"/>
      <c r="D119" s="9"/>
      <c r="E119" s="9"/>
      <c r="F119" s="9"/>
      <c r="G119" s="9"/>
      <c r="H119" s="9"/>
      <c r="I119" s="9"/>
      <c r="J119" s="9"/>
    </row>
    <row r="120">
      <c r="A120" s="12"/>
      <c r="B120" s="9"/>
      <c r="C120" s="12"/>
      <c r="D120" s="9"/>
      <c r="E120" s="9"/>
      <c r="F120" s="9"/>
      <c r="G120" s="9"/>
      <c r="H120" s="9"/>
      <c r="I120" s="12"/>
      <c r="J120" s="9"/>
    </row>
    <row r="121">
      <c r="A121" s="9"/>
      <c r="B121" s="9"/>
      <c r="C121" s="12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12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12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12"/>
      <c r="D124" s="9"/>
      <c r="E124" s="9"/>
      <c r="F124" s="9"/>
      <c r="G124" s="9"/>
      <c r="H124" s="9"/>
      <c r="I124" s="12"/>
      <c r="J124" s="9"/>
    </row>
    <row r="125">
      <c r="A125" s="9"/>
      <c r="B125" s="9"/>
      <c r="C125" s="12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12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12"/>
      <c r="D127" s="9"/>
      <c r="E127" s="9"/>
      <c r="F127" s="9"/>
      <c r="G127" s="9"/>
      <c r="H127" s="9"/>
      <c r="I127" s="12"/>
      <c r="J127" s="9"/>
    </row>
    <row r="128">
      <c r="A128" s="9"/>
      <c r="B128" s="9"/>
      <c r="C128" s="12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12"/>
      <c r="D129" s="9"/>
      <c r="E129" s="9"/>
      <c r="F129" s="9"/>
      <c r="G129" s="9"/>
      <c r="H129" s="9"/>
      <c r="I129" s="12"/>
      <c r="J129" s="9"/>
    </row>
    <row r="130">
      <c r="A130" s="12"/>
      <c r="B130" s="9"/>
      <c r="C130" s="12"/>
      <c r="D130" s="9"/>
      <c r="E130" s="9"/>
      <c r="F130" s="9"/>
      <c r="G130" s="9"/>
      <c r="H130" s="12"/>
      <c r="I130" s="12"/>
      <c r="J130" s="9"/>
    </row>
    <row r="131">
      <c r="A131" s="12"/>
      <c r="B131" s="9"/>
      <c r="C131" s="12"/>
      <c r="D131" s="9"/>
      <c r="E131" s="9"/>
      <c r="F131" s="9"/>
      <c r="G131" s="9"/>
      <c r="H131" s="12"/>
      <c r="I131" s="12"/>
      <c r="J131" s="9"/>
    </row>
    <row r="132">
      <c r="A132" s="12"/>
      <c r="B132" s="9"/>
      <c r="C132" s="12"/>
      <c r="D132" s="9"/>
      <c r="E132" s="9"/>
      <c r="F132" s="9"/>
      <c r="G132" s="9"/>
      <c r="H132" s="12"/>
      <c r="I132" s="12"/>
      <c r="J132" s="9"/>
    </row>
    <row r="133">
      <c r="A133" s="12"/>
      <c r="B133" s="9"/>
      <c r="C133" s="12"/>
      <c r="D133" s="9"/>
      <c r="E133" s="9"/>
      <c r="F133" s="9"/>
      <c r="G133" s="12"/>
      <c r="H133" s="12"/>
      <c r="I133" s="12"/>
      <c r="J133" s="9"/>
    </row>
    <row r="134">
      <c r="A134" s="12"/>
      <c r="B134" s="9"/>
      <c r="C134" s="12"/>
      <c r="D134" s="9"/>
      <c r="E134" s="9"/>
      <c r="F134" s="9"/>
      <c r="G134" s="9"/>
      <c r="H134" s="12"/>
      <c r="I134" s="12"/>
      <c r="J134" s="9"/>
    </row>
    <row r="135">
      <c r="A135" s="12"/>
      <c r="B135" s="9"/>
      <c r="C135" s="12"/>
      <c r="D135" s="9"/>
      <c r="E135" s="9"/>
      <c r="F135" s="9"/>
      <c r="G135" s="9"/>
      <c r="H135" s="12"/>
      <c r="I135" s="12"/>
      <c r="J135" s="9"/>
    </row>
    <row r="136">
      <c r="A136" s="12"/>
      <c r="B136" s="9"/>
      <c r="C136" s="12"/>
      <c r="D136" s="9"/>
      <c r="E136" s="9"/>
      <c r="F136" s="9"/>
      <c r="G136" s="12"/>
      <c r="H136" s="12"/>
      <c r="I136" s="12"/>
      <c r="J136" s="9"/>
    </row>
    <row r="137">
      <c r="A137" s="12"/>
      <c r="B137" s="9"/>
      <c r="C137" s="12"/>
      <c r="D137" s="9"/>
      <c r="E137" s="9"/>
      <c r="F137" s="9"/>
      <c r="G137" s="12"/>
      <c r="H137" s="12"/>
      <c r="I137" s="12"/>
      <c r="J137" s="9"/>
    </row>
    <row r="138">
      <c r="A138" s="12"/>
      <c r="B138" s="9"/>
      <c r="C138" s="12"/>
      <c r="D138" s="9"/>
      <c r="E138" s="9"/>
      <c r="F138" s="9"/>
      <c r="G138" s="9"/>
      <c r="H138" s="9"/>
      <c r="I138" s="9"/>
      <c r="J138" s="9"/>
    </row>
    <row r="139">
      <c r="A139" s="12"/>
      <c r="B139" s="9"/>
      <c r="C139" s="12"/>
      <c r="D139" s="9"/>
      <c r="E139" s="9"/>
      <c r="F139" s="9"/>
      <c r="G139" s="9"/>
      <c r="H139" s="12"/>
      <c r="I139" s="12"/>
      <c r="J139" s="9"/>
    </row>
    <row r="140">
      <c r="A140" s="12"/>
      <c r="B140" s="9"/>
      <c r="C140" s="12"/>
      <c r="D140" s="9"/>
      <c r="E140" s="9"/>
      <c r="F140" s="9"/>
      <c r="G140" s="9"/>
      <c r="H140" s="12"/>
      <c r="I140" s="12"/>
      <c r="J140" s="9"/>
    </row>
    <row r="141">
      <c r="A141" s="12"/>
      <c r="B141" s="9"/>
      <c r="C141" s="12"/>
      <c r="D141" s="9"/>
      <c r="E141" s="9"/>
      <c r="F141" s="9"/>
      <c r="G141" s="9"/>
      <c r="H141" s="9"/>
      <c r="I141" s="9"/>
      <c r="J141" s="9"/>
    </row>
    <row r="142">
      <c r="A142" s="12"/>
      <c r="B142" s="9"/>
      <c r="C142" s="12"/>
      <c r="D142" s="9"/>
      <c r="E142" s="9"/>
      <c r="F142" s="9"/>
      <c r="G142" s="9"/>
      <c r="H142" s="9"/>
      <c r="I142" s="9"/>
      <c r="J142" s="9"/>
    </row>
    <row r="143">
      <c r="A143" s="12"/>
      <c r="B143" s="9"/>
      <c r="C143" s="12"/>
      <c r="D143" s="9"/>
      <c r="E143" s="9"/>
      <c r="F143" s="9"/>
      <c r="G143" s="9"/>
      <c r="H143" s="9"/>
      <c r="I143" s="9"/>
      <c r="J143" s="9"/>
    </row>
    <row r="144">
      <c r="A144" s="12"/>
      <c r="B144" s="9"/>
      <c r="C144" s="12"/>
      <c r="D144" s="9"/>
      <c r="E144" s="9"/>
      <c r="F144" s="9"/>
      <c r="G144" s="9"/>
      <c r="H144" s="9"/>
      <c r="I144" s="9"/>
      <c r="J144" s="9"/>
    </row>
    <row r="145">
      <c r="A145" s="12"/>
      <c r="B145" s="9"/>
      <c r="C145" s="12"/>
      <c r="D145" s="9"/>
      <c r="E145" s="9"/>
      <c r="F145" s="9"/>
      <c r="G145" s="9"/>
      <c r="H145" s="12"/>
      <c r="I145" s="12"/>
      <c r="J145" s="9"/>
    </row>
    <row r="146">
      <c r="A146" s="12"/>
      <c r="B146" s="9"/>
      <c r="C146" s="12"/>
      <c r="D146" s="9"/>
      <c r="E146" s="9"/>
      <c r="F146" s="9"/>
      <c r="G146" s="9"/>
      <c r="H146" s="12"/>
      <c r="I146" s="12"/>
      <c r="J146" s="9"/>
    </row>
    <row r="147">
      <c r="A147" s="12"/>
      <c r="B147" s="9"/>
      <c r="C147" s="12"/>
      <c r="D147" s="9"/>
      <c r="E147" s="9"/>
      <c r="F147" s="9"/>
      <c r="G147" s="9"/>
      <c r="H147" s="12"/>
      <c r="I147" s="12"/>
      <c r="J147" s="9"/>
    </row>
    <row r="148">
      <c r="A148" s="12"/>
      <c r="B148" s="9"/>
      <c r="C148" s="12"/>
      <c r="D148" s="9"/>
      <c r="E148" s="9"/>
      <c r="F148" s="9"/>
      <c r="G148" s="9"/>
      <c r="H148" s="12"/>
      <c r="I148" s="12"/>
      <c r="J148" s="9"/>
    </row>
    <row r="149">
      <c r="A149" s="12"/>
      <c r="B149" s="9"/>
      <c r="C149" s="12"/>
      <c r="D149" s="9"/>
      <c r="E149" s="9"/>
      <c r="F149" s="9"/>
      <c r="G149" s="9"/>
      <c r="H149" s="12"/>
      <c r="I149" s="12"/>
      <c r="J149" s="9"/>
    </row>
    <row r="150">
      <c r="A150" s="12"/>
      <c r="B150" s="9"/>
      <c r="C150" s="12"/>
      <c r="D150" s="9"/>
      <c r="E150" s="9"/>
      <c r="F150" s="9"/>
      <c r="G150" s="9"/>
      <c r="H150" s="12"/>
      <c r="I150" s="12"/>
      <c r="J150" s="9"/>
    </row>
    <row r="151">
      <c r="A151" s="12"/>
      <c r="B151" s="9"/>
      <c r="C151" s="12"/>
      <c r="D151" s="9"/>
      <c r="E151" s="9"/>
      <c r="F151" s="9"/>
      <c r="G151" s="9"/>
      <c r="H151" s="12"/>
      <c r="I151" s="12"/>
      <c r="J151" s="9"/>
    </row>
    <row r="152">
      <c r="A152" s="12"/>
      <c r="B152" s="9"/>
      <c r="C152" s="12"/>
      <c r="D152" s="9"/>
      <c r="E152" s="9"/>
      <c r="F152" s="9"/>
      <c r="G152" s="9"/>
      <c r="H152" s="9"/>
      <c r="I152" s="12"/>
      <c r="J152" s="9"/>
    </row>
    <row r="153">
      <c r="A153" s="12"/>
      <c r="B153" s="9"/>
      <c r="C153" s="12"/>
      <c r="D153" s="9"/>
      <c r="E153" s="9"/>
      <c r="F153" s="9"/>
      <c r="G153" s="9"/>
      <c r="H153" s="9"/>
      <c r="I153" s="9"/>
      <c r="J153" s="9"/>
    </row>
    <row r="154">
      <c r="A154" s="12"/>
      <c r="B154" s="9"/>
      <c r="C154" s="12"/>
      <c r="D154" s="9"/>
      <c r="E154" s="9"/>
      <c r="F154" s="9"/>
      <c r="G154" s="9"/>
      <c r="H154" s="12"/>
      <c r="I154" s="12"/>
      <c r="J154" s="9"/>
    </row>
    <row r="155">
      <c r="A155" s="12"/>
      <c r="B155" s="9"/>
      <c r="C155" s="12"/>
      <c r="D155" s="9"/>
      <c r="E155" s="9"/>
      <c r="F155" s="9"/>
      <c r="G155" s="9"/>
      <c r="H155" s="12"/>
      <c r="I155" s="12"/>
      <c r="J155" s="9"/>
    </row>
    <row r="156">
      <c r="A156" s="12"/>
      <c r="B156" s="9"/>
      <c r="C156" s="12"/>
      <c r="D156" s="9"/>
      <c r="E156" s="9"/>
      <c r="F156" s="9"/>
      <c r="G156" s="9"/>
      <c r="H156" s="9"/>
      <c r="I156" s="9"/>
      <c r="J156" s="9"/>
    </row>
    <row r="157">
      <c r="A157" s="12"/>
      <c r="B157" s="9"/>
      <c r="C157" s="12"/>
      <c r="D157" s="9"/>
      <c r="E157" s="9"/>
      <c r="F157" s="9"/>
      <c r="G157" s="9"/>
      <c r="H157" s="9"/>
      <c r="I157" s="12"/>
      <c r="J157" s="9"/>
    </row>
    <row r="158">
      <c r="A158" s="12"/>
      <c r="B158" s="9"/>
      <c r="C158" s="12"/>
      <c r="D158" s="9"/>
      <c r="E158" s="9"/>
      <c r="F158" s="9"/>
      <c r="G158" s="9"/>
      <c r="H158" s="12"/>
      <c r="I158" s="12"/>
      <c r="J158" s="9"/>
    </row>
    <row r="159">
      <c r="A159" s="12"/>
      <c r="B159" s="9"/>
      <c r="C159" s="12"/>
      <c r="D159" s="9"/>
      <c r="E159" s="9"/>
      <c r="F159" s="9"/>
      <c r="G159" s="9"/>
      <c r="H159" s="12"/>
      <c r="I159" s="12"/>
      <c r="J159" s="9"/>
    </row>
    <row r="160">
      <c r="A160" s="12"/>
      <c r="B160" s="9"/>
      <c r="C160" s="12"/>
      <c r="D160" s="9"/>
      <c r="E160" s="9"/>
      <c r="F160" s="9"/>
      <c r="G160" s="9"/>
      <c r="H160" s="9"/>
      <c r="I160" s="12"/>
      <c r="J160" s="9"/>
    </row>
    <row r="161">
      <c r="A161" s="12"/>
      <c r="B161" s="9"/>
      <c r="C161" s="12"/>
      <c r="D161" s="9"/>
      <c r="E161" s="9"/>
      <c r="F161" s="9"/>
      <c r="G161" s="9"/>
      <c r="H161" s="9"/>
      <c r="I161" s="9"/>
      <c r="J161" s="9"/>
    </row>
    <row r="162">
      <c r="A162" s="12"/>
      <c r="B162" s="9"/>
      <c r="C162" s="12"/>
      <c r="D162" s="9"/>
      <c r="E162" s="9"/>
      <c r="F162" s="9"/>
      <c r="G162" s="9"/>
      <c r="H162" s="12"/>
      <c r="I162" s="9"/>
      <c r="J162" s="9"/>
    </row>
    <row r="163">
      <c r="A163" s="12"/>
      <c r="B163" s="9"/>
      <c r="C163" s="12"/>
      <c r="D163" s="9"/>
      <c r="E163" s="9"/>
      <c r="F163" s="9"/>
      <c r="G163" s="9"/>
      <c r="H163" s="9"/>
      <c r="I163" s="9"/>
      <c r="J163" s="9"/>
    </row>
    <row r="164">
      <c r="A164" s="12"/>
      <c r="B164" s="9"/>
      <c r="C164" s="12"/>
      <c r="D164" s="9"/>
      <c r="E164" s="9"/>
      <c r="F164" s="9"/>
      <c r="G164" s="9"/>
      <c r="H164" s="9"/>
      <c r="I164" s="9"/>
      <c r="J164" s="9"/>
    </row>
    <row r="165">
      <c r="A165" s="12"/>
      <c r="B165" s="9"/>
      <c r="C165" s="12"/>
      <c r="D165" s="9"/>
      <c r="E165" s="9"/>
      <c r="F165" s="9"/>
      <c r="G165" s="9"/>
      <c r="H165" s="9"/>
      <c r="I165" s="9"/>
      <c r="J165" s="9"/>
    </row>
    <row r="166">
      <c r="A166" s="12"/>
      <c r="B166" s="9"/>
      <c r="C166" s="12"/>
      <c r="D166" s="9"/>
      <c r="E166" s="9"/>
      <c r="F166" s="9"/>
      <c r="G166" s="9"/>
      <c r="H166" s="9"/>
      <c r="I166" s="9"/>
      <c r="J166" s="9"/>
    </row>
    <row r="167">
      <c r="A167" s="12"/>
      <c r="B167" s="9"/>
      <c r="C167" s="12"/>
      <c r="D167" s="9"/>
      <c r="E167" s="9"/>
      <c r="F167" s="9"/>
      <c r="G167" s="9"/>
      <c r="H167" s="12"/>
      <c r="I167" s="12"/>
      <c r="J167" s="9"/>
    </row>
    <row r="168">
      <c r="A168" s="12"/>
      <c r="B168" s="9"/>
      <c r="C168" s="12"/>
      <c r="D168" s="9"/>
      <c r="E168" s="9"/>
      <c r="F168" s="9"/>
      <c r="G168" s="9"/>
      <c r="H168" s="12"/>
      <c r="I168" s="12"/>
      <c r="J168" s="9"/>
    </row>
    <row r="169">
      <c r="A169" s="12"/>
      <c r="B169" s="9"/>
      <c r="C169" s="12"/>
      <c r="D169" s="9"/>
      <c r="E169" s="9"/>
      <c r="F169" s="9"/>
      <c r="G169" s="9"/>
      <c r="H169" s="9"/>
      <c r="I169" s="9"/>
      <c r="J169" s="9"/>
    </row>
    <row r="170">
      <c r="A170" s="12"/>
      <c r="B170" s="9"/>
      <c r="C170" s="12"/>
      <c r="D170" s="9"/>
      <c r="E170" s="9"/>
      <c r="F170" s="9"/>
      <c r="G170" s="9"/>
      <c r="H170" s="9"/>
      <c r="I170" s="12"/>
      <c r="J170" s="9"/>
    </row>
    <row r="171">
      <c r="A171" s="12"/>
      <c r="B171" s="9"/>
      <c r="C171" s="12"/>
      <c r="D171" s="9"/>
      <c r="E171" s="9"/>
      <c r="F171" s="9"/>
      <c r="G171" s="9"/>
      <c r="H171" s="9"/>
      <c r="I171" s="12"/>
      <c r="J171" s="9"/>
    </row>
    <row r="172">
      <c r="A172" s="12"/>
      <c r="B172" s="9"/>
      <c r="C172" s="12"/>
      <c r="D172" s="9"/>
      <c r="E172" s="9"/>
      <c r="F172" s="9"/>
      <c r="G172" s="9"/>
      <c r="H172" s="9"/>
      <c r="I172" s="12"/>
      <c r="J172" s="9"/>
    </row>
    <row r="173">
      <c r="A173" s="12"/>
      <c r="B173" s="9"/>
      <c r="C173" s="12"/>
      <c r="D173" s="9"/>
      <c r="E173" s="9"/>
      <c r="F173" s="9"/>
      <c r="G173" s="9"/>
      <c r="H173" s="9"/>
      <c r="I173" s="12"/>
      <c r="J173" s="9"/>
    </row>
    <row r="174">
      <c r="A174" s="12"/>
      <c r="B174" s="9"/>
      <c r="C174" s="12"/>
      <c r="D174" s="9"/>
      <c r="E174" s="9"/>
      <c r="F174" s="9"/>
      <c r="G174" s="12"/>
      <c r="H174" s="9"/>
      <c r="I174" s="12"/>
      <c r="J174" s="9"/>
    </row>
    <row r="175">
      <c r="A175" s="12"/>
      <c r="B175" s="9"/>
      <c r="C175" s="12"/>
      <c r="D175" s="9"/>
      <c r="E175" s="9"/>
      <c r="F175" s="9"/>
      <c r="G175" s="9"/>
      <c r="H175" s="9"/>
      <c r="I175" s="9"/>
      <c r="J175" s="9"/>
    </row>
    <row r="176">
      <c r="A176" s="12"/>
      <c r="B176" s="9"/>
      <c r="C176" s="12"/>
      <c r="D176" s="9"/>
      <c r="E176" s="9"/>
      <c r="F176" s="9"/>
      <c r="G176" s="9"/>
      <c r="H176" s="12"/>
      <c r="I176" s="12"/>
      <c r="J176" s="9"/>
    </row>
    <row r="177">
      <c r="A177" s="12"/>
      <c r="B177" s="9"/>
      <c r="C177" s="12"/>
      <c r="D177" s="9"/>
      <c r="E177" s="9"/>
      <c r="F177" s="9"/>
      <c r="G177" s="9"/>
      <c r="H177" s="9"/>
      <c r="I177" s="12"/>
      <c r="J177" s="9"/>
    </row>
    <row r="178">
      <c r="A178" s="12"/>
      <c r="B178" s="9"/>
      <c r="C178" s="12"/>
      <c r="D178" s="9"/>
      <c r="E178" s="9"/>
      <c r="F178" s="9"/>
      <c r="G178" s="12"/>
      <c r="H178" s="12"/>
      <c r="I178" s="12"/>
      <c r="J178" s="9"/>
    </row>
    <row r="179">
      <c r="A179" s="12"/>
      <c r="B179" s="9"/>
      <c r="C179" s="12"/>
      <c r="D179" s="9"/>
      <c r="E179" s="9"/>
      <c r="F179" s="9"/>
      <c r="G179" s="9"/>
      <c r="H179" s="9"/>
      <c r="I179" s="12"/>
      <c r="J179" s="9"/>
    </row>
    <row r="180">
      <c r="A180" s="12"/>
      <c r="B180" s="9"/>
      <c r="C180" s="12"/>
      <c r="D180" s="9"/>
      <c r="E180" s="9"/>
      <c r="F180" s="9"/>
      <c r="G180" s="9"/>
      <c r="H180" s="9"/>
      <c r="I180" s="12"/>
      <c r="J180" s="9"/>
    </row>
    <row r="181">
      <c r="A181" s="12"/>
      <c r="B181" s="9"/>
      <c r="C181" s="12"/>
      <c r="D181" s="9"/>
      <c r="E181" s="9"/>
      <c r="F181" s="9"/>
      <c r="G181" s="9"/>
      <c r="H181" s="9"/>
      <c r="I181" s="12"/>
      <c r="J181" s="9"/>
    </row>
    <row r="182">
      <c r="A182" s="12"/>
      <c r="B182" s="9"/>
      <c r="C182" s="12"/>
      <c r="D182" s="9"/>
      <c r="E182" s="9"/>
      <c r="F182" s="9"/>
      <c r="G182" s="9"/>
      <c r="H182" s="9"/>
      <c r="I182" s="9"/>
      <c r="J182" s="9"/>
    </row>
    <row r="183">
      <c r="A183" s="12"/>
      <c r="B183" s="9"/>
      <c r="C183" s="12"/>
      <c r="D183" s="9"/>
      <c r="E183" s="9"/>
      <c r="F183" s="9"/>
      <c r="G183" s="9"/>
      <c r="H183" s="12"/>
      <c r="I183" s="12"/>
      <c r="J183" s="9"/>
    </row>
    <row r="184">
      <c r="A184" s="12"/>
      <c r="B184" s="9"/>
      <c r="C184" s="12"/>
      <c r="D184" s="9"/>
      <c r="E184" s="9"/>
      <c r="F184" s="9"/>
      <c r="G184" s="9"/>
      <c r="H184" s="9"/>
      <c r="I184" s="12"/>
      <c r="J184" s="9"/>
    </row>
    <row r="185">
      <c r="A185" s="12"/>
      <c r="B185" s="9"/>
      <c r="C185" s="12"/>
      <c r="D185" s="9"/>
      <c r="E185" s="9"/>
      <c r="F185" s="9"/>
      <c r="G185" s="9"/>
      <c r="H185" s="9"/>
      <c r="I185" s="12"/>
      <c r="J185" s="9"/>
    </row>
    <row r="186">
      <c r="A186" s="12"/>
      <c r="B186" s="9"/>
      <c r="C186" s="12"/>
      <c r="D186" s="9"/>
      <c r="E186" s="9"/>
      <c r="F186" s="9"/>
      <c r="G186" s="9"/>
      <c r="H186" s="9"/>
      <c r="I186" s="9"/>
      <c r="J186" s="9"/>
    </row>
    <row r="187">
      <c r="A187" s="12"/>
      <c r="B187" s="9"/>
      <c r="C187" s="12"/>
      <c r="D187" s="9"/>
      <c r="E187" s="9"/>
      <c r="F187" s="9"/>
      <c r="G187" s="9"/>
      <c r="H187" s="9"/>
      <c r="I187" s="12"/>
      <c r="J187" s="9"/>
    </row>
    <row r="188">
      <c r="A188" s="12"/>
      <c r="B188" s="9"/>
      <c r="C188" s="12"/>
      <c r="D188" s="9"/>
      <c r="E188" s="9"/>
      <c r="F188" s="9"/>
      <c r="G188" s="9"/>
      <c r="H188" s="9"/>
      <c r="I188" s="9"/>
      <c r="J188" s="9"/>
    </row>
    <row r="189">
      <c r="A189" s="12"/>
      <c r="B189" s="9"/>
      <c r="C189" s="12"/>
      <c r="D189" s="9"/>
      <c r="E189" s="9"/>
      <c r="F189" s="9"/>
      <c r="G189" s="9"/>
      <c r="H189" s="9"/>
      <c r="I189" s="9"/>
      <c r="J189" s="9"/>
    </row>
    <row r="190">
      <c r="A190" s="12"/>
      <c r="B190" s="9"/>
      <c r="C190" s="12"/>
      <c r="D190" s="9"/>
      <c r="E190" s="9"/>
      <c r="F190" s="9"/>
      <c r="G190" s="9"/>
      <c r="H190" s="9"/>
      <c r="I190" s="9"/>
      <c r="J190" s="9"/>
    </row>
    <row r="191">
      <c r="A191" s="12"/>
      <c r="B191" s="9"/>
      <c r="C191" s="12"/>
      <c r="D191" s="9"/>
      <c r="E191" s="9"/>
      <c r="F191" s="9"/>
      <c r="G191" s="9"/>
      <c r="H191" s="9"/>
      <c r="I191" s="9"/>
      <c r="J191" s="9"/>
    </row>
    <row r="192">
      <c r="A192" s="12"/>
      <c r="B192" s="9"/>
      <c r="C192" s="12"/>
      <c r="D192" s="9"/>
      <c r="E192" s="9"/>
      <c r="F192" s="9"/>
      <c r="G192" s="9"/>
      <c r="H192" s="9"/>
      <c r="I192" s="9"/>
      <c r="J192" s="9"/>
    </row>
    <row r="193">
      <c r="A193" s="12"/>
      <c r="B193" s="9"/>
      <c r="C193" s="12"/>
      <c r="D193" s="9"/>
      <c r="E193" s="9"/>
      <c r="F193" s="9"/>
      <c r="G193" s="9"/>
      <c r="H193" s="9"/>
      <c r="I193" s="9"/>
      <c r="J193" s="9"/>
    </row>
    <row r="194">
      <c r="A194" s="12"/>
      <c r="B194" s="9"/>
      <c r="C194" s="12"/>
      <c r="D194" s="9"/>
      <c r="E194" s="9"/>
      <c r="F194" s="9"/>
      <c r="G194" s="9"/>
      <c r="H194" s="9"/>
      <c r="I194" s="12"/>
      <c r="J194" s="9"/>
    </row>
    <row r="195">
      <c r="A195" s="12"/>
      <c r="B195" s="9"/>
      <c r="C195" s="12"/>
      <c r="D195" s="9"/>
      <c r="E195" s="9"/>
      <c r="F195" s="9"/>
      <c r="G195" s="12"/>
      <c r="H195" s="9"/>
      <c r="I195" s="9"/>
      <c r="J195" s="9"/>
    </row>
    <row r="196">
      <c r="A196" s="12"/>
      <c r="B196" s="9"/>
      <c r="C196" s="12"/>
      <c r="D196" s="9"/>
      <c r="E196" s="9"/>
      <c r="F196" s="9"/>
      <c r="G196" s="9"/>
      <c r="H196" s="12"/>
      <c r="I196" s="12"/>
      <c r="J196" s="9"/>
    </row>
    <row r="197">
      <c r="A197" s="12"/>
      <c r="B197" s="9"/>
      <c r="C197" s="12"/>
      <c r="D197" s="9"/>
      <c r="E197" s="9"/>
      <c r="F197" s="9"/>
      <c r="G197" s="9"/>
      <c r="H197" s="12"/>
      <c r="I197" s="12"/>
      <c r="J197" s="9"/>
    </row>
    <row r="198">
      <c r="A198" s="12"/>
      <c r="B198" s="9"/>
      <c r="C198" s="12"/>
      <c r="D198" s="9"/>
      <c r="E198" s="9"/>
      <c r="F198" s="9"/>
      <c r="G198" s="9"/>
      <c r="H198" s="12"/>
      <c r="I198" s="12"/>
      <c r="J198" s="9"/>
    </row>
    <row r="199">
      <c r="A199" s="12"/>
      <c r="B199" s="9"/>
      <c r="C199" s="12"/>
      <c r="D199" s="9"/>
      <c r="E199" s="9"/>
      <c r="F199" s="9"/>
      <c r="G199" s="9"/>
      <c r="H199" s="9"/>
      <c r="I199" s="9"/>
      <c r="J199" s="9"/>
    </row>
    <row r="200">
      <c r="A200" s="12"/>
      <c r="B200" s="9"/>
      <c r="C200" s="12"/>
      <c r="D200" s="9"/>
      <c r="E200" s="9"/>
      <c r="F200" s="9"/>
      <c r="G200" s="9"/>
      <c r="H200" s="9"/>
      <c r="I200" s="9"/>
      <c r="J200" s="9"/>
    </row>
  </sheetData>
  <conditionalFormatting sqref="I2:I116">
    <cfRule type="expression" dxfId="0" priority="1" stopIfTrue="1">
      <formula>OR(REGEXMATCH(I2,"3.Next-candidate"),REGEXMATCH(I2,"post-summit"))</formula>
    </cfRule>
  </conditionalFormatting>
  <conditionalFormatting sqref="I2:I116">
    <cfRule type="expression" dxfId="1" priority="2" stopIfTrue="1">
      <formula>OR(REGEXMATCH(I2,"3.5-candidate"),REGEXMATCH(I2,"rhoai-3.5"))</formula>
    </cfRule>
  </conditionalFormatting>
  <conditionalFormatting sqref="I2:I116">
    <cfRule type="expression" dxfId="2" priority="3" stopIfTrue="1">
      <formula>OR(REGEXMATCH(I2,"rhoai-3.4"),REGEXMATCH(I2,"3.4-committed"),REGEXMATCH(I2,"summit-2026"))</formula>
    </cfRule>
  </conditionalFormatting>
  <conditionalFormatting sqref="I2:I200">
    <cfRule type="containsText" dxfId="2" priority="4" stopIfTrue="1" operator="containsText" text="rhoai-3.4">
      <formula>NOT(ISERROR(SEARCH(("rhoai-3.4"),(I2))))</formula>
    </cfRule>
  </conditionalFormatting>
  <conditionalFormatting sqref="I2:I200">
    <cfRule type="containsText" dxfId="0" priority="5" stopIfTrue="1" operator="containsText" text="post-summit">
      <formula>NOT(ISERROR(SEARCH(("post-summit"),(I2))))</formula>
    </cfRule>
  </conditionalFormatting>
  <conditionalFormatting sqref="I2:I200">
    <cfRule type="containsText" dxfId="0" priority="6" stopIfTrue="1" operator="containsText" text="3.Next-candidate">
      <formula>NOT(ISERROR(SEARCH(("3.Next-candidate"),(I2))))</formula>
    </cfRule>
  </conditionalFormatting>
  <conditionalFormatting sqref="I2:I200">
    <cfRule type="containsText" dxfId="1" priority="7" stopIfTrue="1" operator="containsText" text="rhoai-3.5">
      <formula>NOT(ISERROR(SEARCH(("rhoai-3.5"),(I2))))</formula>
    </cfRule>
  </conditionalFormatting>
  <conditionalFormatting sqref="I2:I200">
    <cfRule type="containsText" dxfId="1" priority="8" stopIfTrue="1" operator="containsText" text="3.5-candidate">
      <formula>NOT(ISERROR(SEARCH(("3.5-candidate"),(I2))))</formula>
    </cfRule>
  </conditionalFormatting>
  <conditionalFormatting sqref="I2:I200">
    <cfRule type="containsText" dxfId="2" priority="9" stopIfTrue="1" operator="containsText" text="summit-2026">
      <formula>NOT(ISERROR(SEARCH(("summit-2026"),(I2))))</formula>
    </cfRule>
  </conditionalFormatting>
  <conditionalFormatting sqref="I2:I200">
    <cfRule type="containsText" dxfId="2" priority="10" stopIfTrue="1" operator="containsText" text="3.4-committed">
      <formula>NOT(ISERROR(SEARCH(("3.4-committed"),(I2))))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63"/>
    <col customWidth="1" min="4" max="4" width="47.63"/>
    <col customWidth="1" min="6" max="6" width="32.0"/>
  </cols>
  <sheetData>
    <row r="1">
      <c r="A1" s="7" t="s">
        <v>33</v>
      </c>
      <c r="B1" s="7" t="s">
        <v>137</v>
      </c>
      <c r="C1" s="7" t="s">
        <v>39</v>
      </c>
      <c r="D1" s="7" t="s">
        <v>70</v>
      </c>
      <c r="E1" s="7" t="s">
        <v>73</v>
      </c>
      <c r="F1" s="7" t="s">
        <v>75</v>
      </c>
    </row>
    <row r="2">
      <c r="A2" s="14" t="s">
        <v>346</v>
      </c>
      <c r="B2" s="15"/>
      <c r="C2" s="15"/>
      <c r="D2" s="15"/>
      <c r="E2" s="15"/>
      <c r="F2" s="15"/>
    </row>
    <row r="3">
      <c r="A3" s="13" t="str">
        <f t="shared" ref="A3:A7" si="1">HYPERLINK("https://redhat.atlassian.net/browse/HATSTRAT-314","T1: BYOA")</f>
        <v>T1: BYOA</v>
      </c>
      <c r="B3" s="9" t="s">
        <v>49</v>
      </c>
      <c r="C3" s="13" t="str">
        <f>HYPERLINK("https://redhat.atlassian.net/browse/RHAISTRAT-1213","RHAISTRAT-1213")</f>
        <v>RHAISTRAT-1213</v>
      </c>
      <c r="D3" s="9" t="s">
        <v>183</v>
      </c>
      <c r="E3" s="9" t="s">
        <v>158</v>
      </c>
      <c r="F3" s="9" t="s">
        <v>94</v>
      </c>
    </row>
    <row r="4">
      <c r="A4" s="13" t="str">
        <f t="shared" si="1"/>
        <v>T1: BYOA</v>
      </c>
      <c r="B4" s="9" t="s">
        <v>49</v>
      </c>
      <c r="C4" s="13" t="str">
        <f>HYPERLINK("https://redhat.atlassian.net/browse/RHAISTRAT-1214","RHAISTRAT-1214")</f>
        <v>RHAISTRAT-1214</v>
      </c>
      <c r="D4" s="9" t="s">
        <v>185</v>
      </c>
      <c r="E4" s="9" t="s">
        <v>186</v>
      </c>
      <c r="F4" s="9" t="s">
        <v>94</v>
      </c>
    </row>
    <row r="5">
      <c r="A5" s="13" t="str">
        <f t="shared" si="1"/>
        <v>T1: BYOA</v>
      </c>
      <c r="B5" s="9" t="s">
        <v>49</v>
      </c>
      <c r="C5" s="13" t="str">
        <f>HYPERLINK("https://redhat.atlassian.net/browse/RHAISTRAT-1216","RHAISTRAT-1216")</f>
        <v>RHAISTRAT-1216</v>
      </c>
      <c r="D5" s="9" t="s">
        <v>188</v>
      </c>
      <c r="E5" s="9" t="s">
        <v>189</v>
      </c>
      <c r="F5" s="9" t="s">
        <v>94</v>
      </c>
    </row>
    <row r="6">
      <c r="A6" s="13" t="str">
        <f t="shared" si="1"/>
        <v>T1: BYOA</v>
      </c>
      <c r="B6" s="9" t="s">
        <v>49</v>
      </c>
      <c r="C6" s="13" t="str">
        <f>HYPERLINK("https://redhat.atlassian.net/browse/RHAISTRAT-1259","RHAISTRAT-1259")</f>
        <v>RHAISTRAT-1259</v>
      </c>
      <c r="D6" s="9" t="s">
        <v>191</v>
      </c>
      <c r="E6" s="9" t="s">
        <v>158</v>
      </c>
      <c r="F6" s="9" t="s">
        <v>94</v>
      </c>
    </row>
    <row r="7">
      <c r="A7" s="13" t="str">
        <f t="shared" si="1"/>
        <v>T1: BYOA</v>
      </c>
      <c r="B7" s="9" t="s">
        <v>48</v>
      </c>
      <c r="C7" s="13" t="str">
        <f>HYPERLINK("https://redhat.atlassian.net/browse/RHAISTRAT-59","RHAISTRAT-59")</f>
        <v>RHAISTRAT-59</v>
      </c>
      <c r="D7" s="9" t="s">
        <v>167</v>
      </c>
      <c r="E7" s="9" t="s">
        <v>169</v>
      </c>
      <c r="F7" s="9" t="s">
        <v>94</v>
      </c>
    </row>
    <row r="8">
      <c r="A8" s="13" t="str">
        <f t="shared" ref="A8:A15" si="2">HYPERLINK("https://redhat.atlassian.net/browse/HATSTRAT-315","T2: One API")</f>
        <v>T2: One API</v>
      </c>
      <c r="B8" s="9" t="s">
        <v>52</v>
      </c>
      <c r="C8" s="13" t="str">
        <f>HYPERLINK("https://redhat.atlassian.net/browse/RHAISTRAT-1054","RHAISTRAT-1054")</f>
        <v>RHAISTRAT-1054</v>
      </c>
      <c r="D8" s="9" t="s">
        <v>202</v>
      </c>
      <c r="E8" s="9" t="s">
        <v>106</v>
      </c>
      <c r="F8" s="9" t="s">
        <v>94</v>
      </c>
    </row>
    <row r="9">
      <c r="A9" s="13" t="str">
        <f t="shared" si="2"/>
        <v>T2: One API</v>
      </c>
      <c r="B9" s="9" t="s">
        <v>52</v>
      </c>
      <c r="C9" s="13" t="str">
        <f>HYPERLINK("https://redhat.atlassian.net/browse/RHAISTRAT-1217","RHAISTRAT-1217")</f>
        <v>RHAISTRAT-1217</v>
      </c>
      <c r="D9" s="9" t="s">
        <v>206</v>
      </c>
      <c r="E9" s="9" t="s">
        <v>119</v>
      </c>
      <c r="F9" s="9" t="s">
        <v>94</v>
      </c>
    </row>
    <row r="10">
      <c r="A10" s="13" t="str">
        <f t="shared" si="2"/>
        <v>T2: One API</v>
      </c>
      <c r="B10" s="9" t="s">
        <v>59</v>
      </c>
      <c r="C10" s="13" t="str">
        <f>HYPERLINK("https://redhat.atlassian.net/browse/RHAISTRAT-58","RHAISTRAT-58")</f>
        <v>RHAISTRAT-58</v>
      </c>
      <c r="D10" s="9" t="s">
        <v>266</v>
      </c>
      <c r="E10" s="9" t="s">
        <v>267</v>
      </c>
      <c r="F10" s="9" t="s">
        <v>94</v>
      </c>
    </row>
    <row r="11">
      <c r="A11" s="13" t="str">
        <f t="shared" si="2"/>
        <v>T2: One API</v>
      </c>
      <c r="B11" s="9" t="s">
        <v>57</v>
      </c>
      <c r="C11" s="13" t="str">
        <f>HYPERLINK("https://redhat.atlassian.net/browse/RHAISTRAT-1148","RHAISTRAT-1148")</f>
        <v>RHAISTRAT-1148</v>
      </c>
      <c r="D11" s="9" t="s">
        <v>257</v>
      </c>
      <c r="E11" s="9" t="s">
        <v>119</v>
      </c>
      <c r="F11" s="9" t="s">
        <v>94</v>
      </c>
    </row>
    <row r="12">
      <c r="A12" s="13" t="str">
        <f t="shared" si="2"/>
        <v>T2: One API</v>
      </c>
      <c r="B12" s="9" t="s">
        <v>55</v>
      </c>
      <c r="C12" s="13" t="str">
        <f>HYPERLINK("https://redhat.atlassian.net/browse/RHAISTRAT-983","RHAISTRAT-983")</f>
        <v>RHAISTRAT-983</v>
      </c>
      <c r="D12" s="9" t="s">
        <v>219</v>
      </c>
      <c r="E12" s="9" t="s">
        <v>112</v>
      </c>
      <c r="F12" s="9" t="s">
        <v>94</v>
      </c>
    </row>
    <row r="13">
      <c r="A13" s="13" t="str">
        <f t="shared" si="2"/>
        <v>T2: One API</v>
      </c>
      <c r="B13" s="9" t="s">
        <v>56</v>
      </c>
      <c r="C13" s="13" t="str">
        <f>HYPERLINK("https://redhat.atlassian.net/browse/RHAISTRAT-196","RHAISTRAT-196")</f>
        <v>RHAISTRAT-196</v>
      </c>
      <c r="D13" s="9" t="s">
        <v>231</v>
      </c>
      <c r="E13" s="9" t="s">
        <v>233</v>
      </c>
      <c r="F13" s="9" t="s">
        <v>94</v>
      </c>
    </row>
    <row r="14">
      <c r="A14" s="13" t="str">
        <f t="shared" si="2"/>
        <v>T2: One API</v>
      </c>
      <c r="B14" s="9" t="s">
        <v>56</v>
      </c>
      <c r="C14" s="13" t="str">
        <f>HYPERLINK("https://redhat.atlassian.net/browse/RHAISTRAT-1104","RHAISTRAT-1104")</f>
        <v>RHAISTRAT-1104</v>
      </c>
      <c r="D14" s="9" t="s">
        <v>234</v>
      </c>
      <c r="E14" s="9" t="s">
        <v>235</v>
      </c>
      <c r="F14" s="9" t="s">
        <v>94</v>
      </c>
    </row>
    <row r="15">
      <c r="A15" s="13" t="str">
        <f t="shared" si="2"/>
        <v>T2: One API</v>
      </c>
      <c r="B15" s="9" t="s">
        <v>56</v>
      </c>
      <c r="C15" s="13" t="str">
        <f>HYPERLINK("https://redhat.atlassian.net/browse/RHAISTRAT-1142","RHAISTRAT-1142")</f>
        <v>RHAISTRAT-1142</v>
      </c>
      <c r="D15" s="9" t="s">
        <v>236</v>
      </c>
      <c r="E15" s="9" t="s">
        <v>239</v>
      </c>
      <c r="F15" s="9" t="s">
        <v>94</v>
      </c>
    </row>
    <row r="16">
      <c r="A16" s="13" t="str">
        <f>HYPERLINK("https://redhat.atlassian.net/browse/HATSTRAT-316","T3: Tools to Swarms")</f>
        <v>T3: Tools to Swarms</v>
      </c>
      <c r="B16" s="9" t="s">
        <v>61</v>
      </c>
      <c r="C16" s="13" t="str">
        <f>HYPERLINK("https://redhat.atlassian.net/browse/RHAISTRAT-1084","RHAISTRAT-1084")</f>
        <v>RHAISTRAT-1084</v>
      </c>
      <c r="D16" s="9" t="s">
        <v>280</v>
      </c>
      <c r="E16" s="9" t="s">
        <v>281</v>
      </c>
      <c r="F16" s="9" t="s">
        <v>94</v>
      </c>
    </row>
    <row r="17">
      <c r="A17" s="13" t="str">
        <f>HYPERLINK("https://redhat.atlassian.net/browse/HATSTRAT-314","T1: BYOA")</f>
        <v>T1: BYOA</v>
      </c>
      <c r="B17" s="9" t="s">
        <v>48</v>
      </c>
      <c r="C17" s="13" t="str">
        <f>HYPERLINK("https://redhat.atlassian.net/browse/RHAISTRAT-1076","RHAISTRAT-1076")</f>
        <v>RHAISTRAT-1076</v>
      </c>
      <c r="D17" s="9" t="s">
        <v>176</v>
      </c>
      <c r="E17" s="9" t="s">
        <v>178</v>
      </c>
      <c r="F17" s="9" t="s">
        <v>98</v>
      </c>
    </row>
    <row r="18">
      <c r="A18" s="13" t="str">
        <f t="shared" ref="A18:A21" si="3">HYPERLINK("https://redhat.atlassian.net/browse/HATSTRAT-315","T2: One API")</f>
        <v>T2: One API</v>
      </c>
      <c r="B18" s="9" t="s">
        <v>59</v>
      </c>
      <c r="C18" s="13" t="str">
        <f>HYPERLINK("https://redhat.atlassian.net/browse/RHAISTRAT-1133","RHAISTRAT-1133")</f>
        <v>RHAISTRAT-1133</v>
      </c>
      <c r="D18" s="9" t="s">
        <v>271</v>
      </c>
      <c r="E18" s="9" t="s">
        <v>112</v>
      </c>
      <c r="F18" s="9" t="s">
        <v>98</v>
      </c>
    </row>
    <row r="19">
      <c r="A19" s="8" t="str">
        <f t="shared" si="3"/>
        <v>T2: One API</v>
      </c>
      <c r="B19" s="9" t="s">
        <v>57</v>
      </c>
      <c r="C19" s="13" t="str">
        <f>HYPERLINK("https://redhat.atlassian.net/browse/RHAISTRAT-1106","RHAISTRAT-1106")</f>
        <v>RHAISTRAT-1106</v>
      </c>
      <c r="D19" s="9" t="s">
        <v>259</v>
      </c>
      <c r="E19" s="9" t="s">
        <v>119</v>
      </c>
      <c r="F19" s="9" t="s">
        <v>98</v>
      </c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3" t="str">
        <f t="shared" si="3"/>
        <v>T2: One API</v>
      </c>
      <c r="B20" s="9" t="s">
        <v>57</v>
      </c>
      <c r="C20" s="13" t="str">
        <f>HYPERLINK("https://redhat.atlassian.net/browse/RHAISTRAT-1196","RHAISTRAT-1196")</f>
        <v>RHAISTRAT-1196</v>
      </c>
      <c r="D20" s="9" t="s">
        <v>260</v>
      </c>
      <c r="E20" s="9" t="s">
        <v>112</v>
      </c>
      <c r="F20" s="9" t="s">
        <v>98</v>
      </c>
    </row>
    <row r="21">
      <c r="A21" s="13" t="str">
        <f t="shared" si="3"/>
        <v>T2: One API</v>
      </c>
      <c r="B21" s="9" t="s">
        <v>56</v>
      </c>
      <c r="C21" s="13" t="str">
        <f>HYPERLINK("https://redhat.atlassian.net/browse/RHAISTRAT-1072","RHAISTRAT-1072")</f>
        <v>RHAISTRAT-1072</v>
      </c>
      <c r="D21" s="9" t="s">
        <v>252</v>
      </c>
      <c r="E21" s="9" t="s">
        <v>112</v>
      </c>
      <c r="F21" s="9" t="s">
        <v>98</v>
      </c>
    </row>
    <row r="22">
      <c r="A22" s="13" t="str">
        <f>HYPERLINK("https://redhat.atlassian.net/browse/HATSTRAT-316","T3: Tools to Swarms")</f>
        <v>T3: Tools to Swarms</v>
      </c>
      <c r="B22" s="9" t="s">
        <v>61</v>
      </c>
      <c r="C22" s="13" t="str">
        <f>HYPERLINK("https://redhat.atlassian.net/browse/RHAISTRAT-1149","RHAISTRAT-1149")</f>
        <v>RHAISTRAT-1149</v>
      </c>
      <c r="D22" s="9" t="s">
        <v>282</v>
      </c>
      <c r="E22" s="9" t="s">
        <v>284</v>
      </c>
      <c r="F22" s="9" t="s">
        <v>98</v>
      </c>
    </row>
    <row r="23">
      <c r="A23" s="13" t="str">
        <f t="shared" ref="A23:A24" si="4">HYPERLINK("https://redhat.atlassian.net/browse/HATSTRAT-318","T5: First Agent")</f>
        <v>T5: First Agent</v>
      </c>
      <c r="B23" s="9" t="s">
        <v>69</v>
      </c>
      <c r="C23" s="13" t="str">
        <f>HYPERLINK("https://redhat.atlassian.net/browse/RHAISTRAT-1260","RHAISTRAT-1260")</f>
        <v>RHAISTRAT-1260</v>
      </c>
      <c r="D23" s="9" t="s">
        <v>339</v>
      </c>
      <c r="E23" s="9" t="s">
        <v>109</v>
      </c>
      <c r="F23" s="9" t="s">
        <v>98</v>
      </c>
    </row>
    <row r="24">
      <c r="A24" s="13" t="str">
        <f t="shared" si="4"/>
        <v>T5: First Agent</v>
      </c>
      <c r="B24" s="9" t="s">
        <v>68</v>
      </c>
      <c r="C24" s="13" t="str">
        <f>HYPERLINK("https://redhat.atlassian.net/browse/RHAISTRAT-1158","RHAISTRAT-1158")</f>
        <v>RHAISTRAT-1158</v>
      </c>
      <c r="D24" s="9" t="s">
        <v>319</v>
      </c>
      <c r="E24" s="9" t="s">
        <v>320</v>
      </c>
      <c r="F24" s="9" t="s">
        <v>98</v>
      </c>
    </row>
    <row r="25">
      <c r="A25" s="17" t="s">
        <v>347</v>
      </c>
      <c r="B25" s="17"/>
      <c r="C25" s="18"/>
      <c r="D25" s="17"/>
      <c r="E25" s="17"/>
      <c r="F25" s="17"/>
    </row>
    <row r="26">
      <c r="A26" s="13" t="str">
        <f t="shared" ref="A26:A28" si="5">HYPERLINK("https://redhat.atlassian.net/browse/HATSTRAT-314","T1: BYOA")</f>
        <v>T1: BYOA</v>
      </c>
      <c r="B26" s="9" t="s">
        <v>45</v>
      </c>
      <c r="C26" s="13" t="str">
        <f>HYPERLINK("https://redhat.atlassian.net/browse/RHAIRFE-1313","RHAIRFE-1313")</f>
        <v>RHAIRFE-1313</v>
      </c>
      <c r="D26" s="9" t="s">
        <v>145</v>
      </c>
      <c r="E26" s="9" t="s">
        <v>146</v>
      </c>
      <c r="F26" s="9" t="s">
        <v>94</v>
      </c>
    </row>
    <row r="27">
      <c r="A27" s="13" t="str">
        <f t="shared" si="5"/>
        <v>T1: BYOA</v>
      </c>
      <c r="B27" s="9" t="s">
        <v>49</v>
      </c>
      <c r="C27" s="13" t="str">
        <f>HYPERLINK("https://redhat.atlassian.net/browse/RHAIRFE-1351","RHAIRFE-1351")</f>
        <v>RHAIRFE-1351</v>
      </c>
      <c r="D27" s="9" t="s">
        <v>180</v>
      </c>
      <c r="E27" s="9" t="s">
        <v>182</v>
      </c>
      <c r="F27" s="9" t="s">
        <v>94</v>
      </c>
    </row>
    <row r="28">
      <c r="A28" s="13" t="str">
        <f t="shared" si="5"/>
        <v>T1: BYOA</v>
      </c>
      <c r="B28" s="9" t="s">
        <v>48</v>
      </c>
      <c r="C28" s="13" t="str">
        <f>HYPERLINK("https://redhat.atlassian.net/browse/RHAIRFE-794","RHAIRFE-794")</f>
        <v>RHAIRFE-794</v>
      </c>
      <c r="D28" s="9" t="s">
        <v>165</v>
      </c>
      <c r="E28" s="9" t="s">
        <v>166</v>
      </c>
      <c r="F28" s="9" t="s">
        <v>94</v>
      </c>
    </row>
    <row r="29">
      <c r="A29" s="8" t="str">
        <f t="shared" ref="A29:A31" si="6">HYPERLINK("https://redhat.atlassian.net/browse/HATSTRAT-315","T2: One API")</f>
        <v>T2: One API</v>
      </c>
      <c r="B29" s="9" t="s">
        <v>52</v>
      </c>
      <c r="C29" s="13" t="str">
        <f>HYPERLINK("https://redhat.atlassian.net/browse/RHAISTRAT-1111","RHAISTRAT-1111")</f>
        <v>RHAISTRAT-1111</v>
      </c>
      <c r="D29" s="9" t="s">
        <v>205</v>
      </c>
      <c r="E29" s="9" t="s">
        <v>106</v>
      </c>
      <c r="F29" s="9" t="s">
        <v>94</v>
      </c>
    </row>
    <row r="30">
      <c r="A30" s="13" t="str">
        <f t="shared" si="6"/>
        <v>T2: One API</v>
      </c>
      <c r="B30" s="9" t="s">
        <v>52</v>
      </c>
      <c r="C30" s="13" t="str">
        <f>HYPERLINK("https://redhat.atlassian.net/browse/RHAISTRAT-1228","RHAISTRAT-1228")</f>
        <v>RHAISTRAT-1228</v>
      </c>
      <c r="D30" s="9" t="s">
        <v>207</v>
      </c>
      <c r="E30" s="9" t="s">
        <v>112</v>
      </c>
      <c r="F30" s="9" t="s">
        <v>94</v>
      </c>
    </row>
    <row r="31">
      <c r="A31" s="13" t="str">
        <f t="shared" si="6"/>
        <v>T2: One API</v>
      </c>
      <c r="B31" s="9" t="s">
        <v>56</v>
      </c>
      <c r="C31" s="13" t="str">
        <f>HYPERLINK("https://redhat.atlassian.net/browse/RHAISTRAT-39","RHAISTRAT-39")</f>
        <v>RHAISTRAT-39</v>
      </c>
      <c r="D31" s="9" t="s">
        <v>226</v>
      </c>
      <c r="E31" s="9" t="s">
        <v>228</v>
      </c>
      <c r="F31" s="9" t="s">
        <v>94</v>
      </c>
    </row>
    <row r="32">
      <c r="A32" s="13" t="str">
        <f>HYPERLINK("https://redhat.atlassian.net/browse/HATSTRAT-316","T3: Tools to Swarms")</f>
        <v>T3: Tools to Swarms</v>
      </c>
      <c r="B32" s="9" t="s">
        <v>63</v>
      </c>
      <c r="C32" s="13" t="str">
        <f>HYPERLINK("https://redhat.atlassian.net/browse/RHAISTRAT-138","RHAISTRAT-138")</f>
        <v>RHAISTRAT-138</v>
      </c>
      <c r="D32" s="9" t="s">
        <v>291</v>
      </c>
      <c r="E32" s="9" t="s">
        <v>104</v>
      </c>
      <c r="F32" s="9" t="s">
        <v>94</v>
      </c>
    </row>
    <row r="33">
      <c r="A33" s="13" t="str">
        <f>HYPERLINK("https://redhat.atlassian.net/browse/HATSTRAT-318","T5: First Agent")</f>
        <v>T5: First Agent</v>
      </c>
      <c r="B33" s="9" t="s">
        <v>69</v>
      </c>
      <c r="C33" s="13" t="str">
        <f>HYPERLINK("https://redhat.atlassian.net/browse/RHAISTRAT-133","RHAISTRAT-133")</f>
        <v>RHAISTRAT-133</v>
      </c>
      <c r="D33" s="9" t="s">
        <v>329</v>
      </c>
      <c r="E33" s="9" t="s">
        <v>331</v>
      </c>
      <c r="F33" s="9" t="s">
        <v>94</v>
      </c>
    </row>
    <row r="34">
      <c r="A34" s="9" t="s">
        <v>348</v>
      </c>
      <c r="B34" s="9" t="s">
        <v>348</v>
      </c>
      <c r="C34" s="13" t="str">
        <f>HYPERLINK("https://redhat.atlassian.net/browse/RHAIRFE-1459","RHAIRFE-1459")</f>
        <v>RHAIRFE-1459</v>
      </c>
      <c r="D34" s="9" t="s">
        <v>99</v>
      </c>
      <c r="E34" s="9" t="s">
        <v>101</v>
      </c>
      <c r="F34" s="9" t="s">
        <v>94</v>
      </c>
    </row>
    <row r="35">
      <c r="A35" s="9" t="s">
        <v>348</v>
      </c>
      <c r="B35" s="9" t="s">
        <v>348</v>
      </c>
      <c r="C35" s="13" t="str">
        <f>HYPERLINK("https://redhat.atlassian.net/browse/RHAIRFE-1506","RHAIRFE-1506")</f>
        <v>RHAIRFE-1506</v>
      </c>
      <c r="D35" s="9" t="s">
        <v>105</v>
      </c>
      <c r="E35" s="9" t="s">
        <v>106</v>
      </c>
      <c r="F35" s="9" t="s">
        <v>94</v>
      </c>
    </row>
    <row r="36">
      <c r="A36" s="13" t="str">
        <f>HYPERLINK("https://redhat.atlassian.net/browse/HATSTRAT-314","T1: BYOA")</f>
        <v>T1: BYOA</v>
      </c>
      <c r="B36" s="9" t="s">
        <v>45</v>
      </c>
      <c r="C36" s="13" t="str">
        <f>HYPERLINK("https://redhat.atlassian.net/browse/RHAIRFE-284","RHAIRFE-284")</f>
        <v>RHAIRFE-284</v>
      </c>
      <c r="D36" s="9" t="s">
        <v>151</v>
      </c>
      <c r="E36" s="9" t="s">
        <v>152</v>
      </c>
      <c r="F36" s="9" t="s">
        <v>98</v>
      </c>
    </row>
    <row r="37">
      <c r="A37" s="13" t="str">
        <f t="shared" ref="A37:A41" si="7">HYPERLINK("https://redhat.atlassian.net/browse/HATSTRAT-315","T2: One API")</f>
        <v>T2: One API</v>
      </c>
      <c r="B37" s="9" t="s">
        <v>53</v>
      </c>
      <c r="C37" s="13" t="str">
        <f>HYPERLINK("https://redhat.atlassian.net/browse/RHAIRFE-976","RHAIRFE-976")</f>
        <v>RHAIRFE-976</v>
      </c>
      <c r="D37" s="9" t="s">
        <v>217</v>
      </c>
      <c r="E37" s="9" t="s">
        <v>112</v>
      </c>
      <c r="F37" s="9" t="s">
        <v>98</v>
      </c>
    </row>
    <row r="38">
      <c r="A38" s="13" t="str">
        <f t="shared" si="7"/>
        <v>T2: One API</v>
      </c>
      <c r="B38" s="9" t="s">
        <v>53</v>
      </c>
      <c r="C38" s="13" t="str">
        <f>HYPERLINK("https://redhat.atlassian.net/browse/RHAISTRAT-989","RHAISTRAT-989")</f>
        <v>RHAISTRAT-989</v>
      </c>
      <c r="D38" s="9" t="s">
        <v>218</v>
      </c>
      <c r="E38" s="9" t="s">
        <v>119</v>
      </c>
      <c r="F38" s="9" t="s">
        <v>98</v>
      </c>
    </row>
    <row r="39">
      <c r="A39" s="13" t="str">
        <f t="shared" si="7"/>
        <v>T2: One API</v>
      </c>
      <c r="B39" s="9" t="s">
        <v>56</v>
      </c>
      <c r="C39" s="13" t="str">
        <f>HYPERLINK("https://redhat.atlassian.net/browse/RHAISTRAT-97","RHAISTRAT-97")</f>
        <v>RHAISTRAT-97</v>
      </c>
      <c r="D39" s="9" t="s">
        <v>249</v>
      </c>
      <c r="E39" s="9" t="s">
        <v>112</v>
      </c>
      <c r="F39" s="9" t="s">
        <v>98</v>
      </c>
    </row>
    <row r="40">
      <c r="A40" s="13" t="str">
        <f t="shared" si="7"/>
        <v>T2: One API</v>
      </c>
      <c r="B40" s="9" t="s">
        <v>56</v>
      </c>
      <c r="C40" s="13" t="str">
        <f>HYPERLINK("https://redhat.atlassian.net/browse/RHAISTRAT-1061","RHAISTRAT-1061")</f>
        <v>RHAISTRAT-1061</v>
      </c>
      <c r="D40" s="9" t="s">
        <v>251</v>
      </c>
      <c r="E40" s="9" t="s">
        <v>119</v>
      </c>
      <c r="F40" s="9" t="s">
        <v>98</v>
      </c>
    </row>
    <row r="41">
      <c r="A41" s="8" t="str">
        <f t="shared" si="7"/>
        <v>T2: One API</v>
      </c>
      <c r="B41" s="9" t="s">
        <v>56</v>
      </c>
      <c r="C41" s="13" t="str">
        <f>HYPERLINK("https://redhat.atlassian.net/browse/RHAISTRAT-1248","RHAISTRAT-1248")</f>
        <v>RHAISTRAT-1248</v>
      </c>
      <c r="D41" s="9" t="s">
        <v>253</v>
      </c>
      <c r="E41" s="9" t="s">
        <v>255</v>
      </c>
      <c r="F41" s="9" t="s">
        <v>98</v>
      </c>
      <c r="S41" s="16"/>
      <c r="T41" s="16"/>
      <c r="U41" s="16"/>
      <c r="V41" s="16"/>
      <c r="W41" s="16"/>
      <c r="X41" s="16"/>
      <c r="Y41" s="16"/>
      <c r="Z41" s="16"/>
    </row>
    <row r="42">
      <c r="A42" s="13" t="str">
        <f t="shared" ref="A42:A44" si="8">HYPERLINK("https://redhat.atlassian.net/browse/HATSTRAT-316","T3: Tools to Swarms")</f>
        <v>T3: Tools to Swarms</v>
      </c>
      <c r="B42" s="9" t="s">
        <v>63</v>
      </c>
      <c r="C42" s="13" t="str">
        <f>HYPERLINK("https://redhat.atlassian.net/browse/RHAIRFE-1456","RHAIRFE-1456")</f>
        <v>RHAIRFE-1456</v>
      </c>
      <c r="D42" s="9" t="s">
        <v>292</v>
      </c>
      <c r="E42" s="9" t="s">
        <v>294</v>
      </c>
      <c r="F42" s="9" t="s">
        <v>98</v>
      </c>
    </row>
    <row r="43">
      <c r="A43" s="13" t="str">
        <f t="shared" si="8"/>
        <v>T3: Tools to Swarms</v>
      </c>
      <c r="B43" s="9" t="s">
        <v>63</v>
      </c>
      <c r="C43" s="13" t="str">
        <f>HYPERLINK("https://redhat.atlassian.net/browse/RHAIRFE-1457","RHAIRFE-1457")</f>
        <v>RHAIRFE-1457</v>
      </c>
      <c r="D43" s="9" t="s">
        <v>295</v>
      </c>
      <c r="E43" s="9" t="s">
        <v>296</v>
      </c>
      <c r="F43" s="9" t="s">
        <v>98</v>
      </c>
    </row>
    <row r="44">
      <c r="A44" s="13" t="str">
        <f t="shared" si="8"/>
        <v>T3: Tools to Swarms</v>
      </c>
      <c r="B44" s="9" t="s">
        <v>272</v>
      </c>
      <c r="C44" s="13" t="str">
        <f>HYPERLINK("https://redhat.atlassian.net/browse/RHAIRFE-1064","RHAIRFE-1064")</f>
        <v>RHAIRFE-1064</v>
      </c>
      <c r="D44" s="9" t="s">
        <v>273</v>
      </c>
      <c r="E44" s="9" t="s">
        <v>274</v>
      </c>
      <c r="F44" s="9" t="s">
        <v>98</v>
      </c>
    </row>
    <row r="45">
      <c r="A45" s="9" t="s">
        <v>348</v>
      </c>
      <c r="B45" s="9" t="s">
        <v>348</v>
      </c>
      <c r="C45" s="13" t="str">
        <f>HYPERLINK("https://redhat.atlassian.net/browse/RHAIRFE-1370","RHAIRFE-1370")</f>
        <v>RHAIRFE-1370</v>
      </c>
      <c r="D45" s="9" t="s">
        <v>95</v>
      </c>
      <c r="E45" s="9" t="s">
        <v>96</v>
      </c>
      <c r="F45" s="9" t="s">
        <v>98</v>
      </c>
    </row>
    <row r="46">
      <c r="A46" s="9" t="s">
        <v>348</v>
      </c>
      <c r="B46" s="9" t="s">
        <v>348</v>
      </c>
      <c r="C46" s="13" t="str">
        <f>HYPERLINK("https://redhat.atlassian.net/browse/RHAIRFE-1528","RHAIRFE-1528")</f>
        <v>RHAIRFE-1528</v>
      </c>
      <c r="D46" s="9" t="s">
        <v>107</v>
      </c>
      <c r="E46" s="9" t="s">
        <v>109</v>
      </c>
      <c r="F46" s="9" t="s">
        <v>98</v>
      </c>
    </row>
    <row r="47">
      <c r="A47" s="13" t="str">
        <f t="shared" ref="A47:A50" si="9">HYPERLINK("https://redhat.atlassian.net/browse/HATSTRAT-315","T2: One API")</f>
        <v>T2: One API</v>
      </c>
      <c r="B47" s="9" t="s">
        <v>58</v>
      </c>
      <c r="C47" s="13" t="str">
        <f>HYPERLINK("https://redhat.atlassian.net/browse/RHAISTRAT-1245","RHAISTRAT-1245")</f>
        <v>RHAISTRAT-1245</v>
      </c>
      <c r="D47" s="9" t="s">
        <v>264</v>
      </c>
      <c r="E47" s="9" t="s">
        <v>112</v>
      </c>
      <c r="F47" s="9" t="s">
        <v>84</v>
      </c>
    </row>
    <row r="48">
      <c r="A48" s="13" t="str">
        <f t="shared" si="9"/>
        <v>T2: One API</v>
      </c>
      <c r="B48" s="9" t="s">
        <v>58</v>
      </c>
      <c r="C48" s="13" t="str">
        <f>HYPERLINK("https://redhat.atlassian.net/browse/RHAISTRAT-1246","RHAISTRAT-1246")</f>
        <v>RHAISTRAT-1246</v>
      </c>
      <c r="D48" s="9" t="s">
        <v>265</v>
      </c>
      <c r="E48" s="9" t="s">
        <v>119</v>
      </c>
      <c r="F48" s="9" t="s">
        <v>84</v>
      </c>
    </row>
    <row r="49">
      <c r="A49" s="13" t="str">
        <f t="shared" si="9"/>
        <v>T2: One API</v>
      </c>
      <c r="B49" s="9" t="s">
        <v>55</v>
      </c>
      <c r="C49" s="13" t="str">
        <f>HYPERLINK("https://redhat.atlassian.net/browse/RHAISTRAT-160","RHAISTRAT-160")</f>
        <v>RHAISTRAT-160</v>
      </c>
      <c r="D49" s="9" t="s">
        <v>220</v>
      </c>
      <c r="E49" s="9" t="s">
        <v>222</v>
      </c>
      <c r="F49" s="9" t="s">
        <v>84</v>
      </c>
    </row>
    <row r="50">
      <c r="A50" s="13" t="str">
        <f t="shared" si="9"/>
        <v>T2: One API</v>
      </c>
      <c r="B50" s="9" t="s">
        <v>55</v>
      </c>
      <c r="C50" s="13" t="str">
        <f>HYPERLINK("https://redhat.atlassian.net/browse/RHAISTRAT-161","RHAISTRAT-161")</f>
        <v>RHAISTRAT-161</v>
      </c>
      <c r="D50" s="9" t="s">
        <v>223</v>
      </c>
      <c r="E50" s="9" t="s">
        <v>225</v>
      </c>
      <c r="F50" s="9" t="s">
        <v>84</v>
      </c>
    </row>
    <row r="51">
      <c r="A51" s="13" t="str">
        <f>HYPERLINK("https://redhat.atlassian.net/browse/HATSTRAT-318","T5: First Agent")</f>
        <v>T5: First Agent</v>
      </c>
      <c r="B51" s="9" t="s">
        <v>69</v>
      </c>
      <c r="C51" s="13" t="str">
        <f>HYPERLINK("https://redhat.atlassian.net/browse/RHAISTRAT-313","RHAISTRAT-313")</f>
        <v>RHAISTRAT-313</v>
      </c>
      <c r="D51" s="9" t="s">
        <v>342</v>
      </c>
      <c r="E51" s="9" t="s">
        <v>344</v>
      </c>
      <c r="F51" s="9" t="s">
        <v>341</v>
      </c>
    </row>
    <row r="52">
      <c r="A52" s="19" t="s">
        <v>349</v>
      </c>
      <c r="B52" s="19"/>
      <c r="C52" s="20"/>
      <c r="D52" s="19"/>
      <c r="E52" s="19"/>
      <c r="F52" s="19"/>
    </row>
    <row r="53">
      <c r="A53" s="13" t="str">
        <f t="shared" ref="A53:A54" si="10">HYPERLINK("https://redhat.atlassian.net/browse/HATSTRAT-314","T1: BYOA")</f>
        <v>T1: BYOA</v>
      </c>
      <c r="B53" s="9" t="s">
        <v>45</v>
      </c>
      <c r="C53" s="13" t="str">
        <f>HYPERLINK("https://redhat.atlassian.net/browse/RHAIRFE-334","RHAIRFE-334")</f>
        <v>RHAIRFE-334</v>
      </c>
      <c r="D53" s="9" t="s">
        <v>139</v>
      </c>
      <c r="E53" s="9" t="s">
        <v>141</v>
      </c>
      <c r="F53" s="9" t="s">
        <v>94</v>
      </c>
    </row>
    <row r="54">
      <c r="A54" s="13" t="str">
        <f t="shared" si="10"/>
        <v>T1: BYOA</v>
      </c>
      <c r="B54" s="9" t="s">
        <v>45</v>
      </c>
      <c r="C54" s="13" t="str">
        <f>HYPERLINK("https://redhat.atlassian.net/browse/RHAIRFE-872","RHAIRFE-872")</f>
        <v>RHAIRFE-872</v>
      </c>
      <c r="D54" s="9" t="s">
        <v>142</v>
      </c>
      <c r="E54" s="9" t="s">
        <v>143</v>
      </c>
      <c r="F54" s="9" t="s">
        <v>94</v>
      </c>
    </row>
    <row r="55">
      <c r="A55" s="13" t="str">
        <f>HYPERLINK("https://redhat.atlassian.net/browse/HATSTRAT-316","T3: Tools to Swarms")</f>
        <v>T3: Tools to Swarms</v>
      </c>
      <c r="B55" s="9" t="s">
        <v>64</v>
      </c>
      <c r="C55" s="13" t="str">
        <f>HYPERLINK("https://redhat.atlassian.net/browse/RHAIRFE-397","RHAIRFE-397")</f>
        <v>RHAIRFE-397</v>
      </c>
      <c r="D55" s="9" t="s">
        <v>299</v>
      </c>
      <c r="E55" s="9" t="s">
        <v>300</v>
      </c>
      <c r="F55" s="9" t="s">
        <v>94</v>
      </c>
    </row>
    <row r="56">
      <c r="A56" s="13" t="str">
        <f>HYPERLINK("https://redhat.atlassian.net/browse/HATSTRAT-318","T5: First Agent")</f>
        <v>T5: First Agent</v>
      </c>
      <c r="B56" s="9" t="s">
        <v>69</v>
      </c>
      <c r="C56" s="13" t="str">
        <f>HYPERLINK("https://redhat.atlassian.net/browse/RHAIRFE-476","RHAIRFE-476")</f>
        <v>RHAIRFE-476</v>
      </c>
      <c r="D56" s="9" t="s">
        <v>326</v>
      </c>
      <c r="E56" s="9" t="s">
        <v>328</v>
      </c>
      <c r="F56" s="9" t="s">
        <v>94</v>
      </c>
    </row>
    <row r="57">
      <c r="A57" s="13" t="str">
        <f t="shared" ref="A57:A59" si="11">HYPERLINK("https://redhat.atlassian.net/browse/HATSTRAT-314","T1: BYOA")</f>
        <v>T1: BYOA</v>
      </c>
      <c r="B57" s="9" t="s">
        <v>45</v>
      </c>
      <c r="C57" s="13" t="str">
        <f>HYPERLINK("https://redhat.atlassian.net/browse/RHAIRFE-333","RHAIRFE-333")</f>
        <v>RHAIRFE-333</v>
      </c>
      <c r="D57" s="9" t="s">
        <v>153</v>
      </c>
      <c r="E57" s="9" t="s">
        <v>154</v>
      </c>
      <c r="F57" s="9" t="s">
        <v>98</v>
      </c>
    </row>
    <row r="58">
      <c r="A58" s="13" t="str">
        <f t="shared" si="11"/>
        <v>T1: BYOA</v>
      </c>
      <c r="B58" s="9" t="s">
        <v>45</v>
      </c>
      <c r="C58" s="13" t="str">
        <f>HYPERLINK("https://redhat.atlassian.net/browse/RHAIRFE-1314","RHAIRFE-1314")</f>
        <v>RHAIRFE-1314</v>
      </c>
      <c r="D58" s="9" t="s">
        <v>155</v>
      </c>
      <c r="E58" s="9" t="s">
        <v>146</v>
      </c>
      <c r="F58" s="9" t="s">
        <v>98</v>
      </c>
    </row>
    <row r="59">
      <c r="A59" s="13" t="str">
        <f t="shared" si="11"/>
        <v>T1: BYOA</v>
      </c>
      <c r="B59" s="9" t="s">
        <v>49</v>
      </c>
      <c r="C59" s="13" t="str">
        <f>HYPERLINK("https://redhat.atlassian.net/browse/RHAIRFE-1538","RHAIRFE-1538")</f>
        <v>RHAIRFE-1538</v>
      </c>
      <c r="D59" s="9" t="s">
        <v>192</v>
      </c>
      <c r="E59" s="9" t="s">
        <v>193</v>
      </c>
      <c r="F59" s="9" t="s">
        <v>98</v>
      </c>
    </row>
    <row r="60">
      <c r="A60" s="13" t="str">
        <f t="shared" ref="A60:A61" si="12">HYPERLINK("https://redhat.atlassian.net/browse/HATSTRAT-316","T3: Tools to Swarms")</f>
        <v>T3: Tools to Swarms</v>
      </c>
      <c r="B60" s="9" t="s">
        <v>62</v>
      </c>
      <c r="C60" s="13" t="str">
        <f>HYPERLINK("https://redhat.atlassian.net/browse/RHAIRFE-714","RHAIRFE-714")</f>
        <v>RHAIRFE-714</v>
      </c>
      <c r="D60" s="9" t="s">
        <v>286</v>
      </c>
      <c r="E60" s="9" t="s">
        <v>288</v>
      </c>
      <c r="F60" s="9" t="s">
        <v>98</v>
      </c>
    </row>
    <row r="61">
      <c r="A61" s="13" t="str">
        <f t="shared" si="12"/>
        <v>T3: Tools to Swarms</v>
      </c>
      <c r="B61" s="9" t="s">
        <v>272</v>
      </c>
      <c r="C61" s="13" t="str">
        <f>HYPERLINK("https://redhat.atlassian.net/browse/RHAISTRAT-1215","RHAISTRAT-1215")</f>
        <v>RHAISTRAT-1215</v>
      </c>
      <c r="D61" s="9" t="s">
        <v>279</v>
      </c>
      <c r="E61" s="9" t="s">
        <v>158</v>
      </c>
      <c r="F61" s="9" t="s">
        <v>98</v>
      </c>
    </row>
    <row r="62">
      <c r="A62" s="8" t="str">
        <f>HYPERLINK("https://redhat.atlassian.net/browse/HATSTRAT-318","T5: First Agent")</f>
        <v>T5: First Agent</v>
      </c>
      <c r="B62" s="9" t="s">
        <v>68</v>
      </c>
      <c r="C62" s="13" t="str">
        <f>HYPERLINK("https://redhat.atlassian.net/browse/RHAIRFE-457","RHAIRFE-457")</f>
        <v>RHAIRFE-457</v>
      </c>
      <c r="D62" s="9" t="s">
        <v>316</v>
      </c>
      <c r="E62" s="9" t="s">
        <v>88</v>
      </c>
      <c r="F62" s="9" t="s">
        <v>98</v>
      </c>
      <c r="S62" s="16"/>
      <c r="T62" s="16"/>
      <c r="U62" s="16"/>
      <c r="V62" s="16"/>
      <c r="W62" s="16"/>
      <c r="X62" s="16"/>
      <c r="Y62" s="16"/>
      <c r="Z62" s="16"/>
    </row>
    <row r="63">
      <c r="A63" s="13" t="str">
        <f>HYPERLINK("https://redhat.atlassian.net/browse/HATSTRAT-316","T3: Tools to Swarms")</f>
        <v>T3: Tools to Swarms</v>
      </c>
      <c r="B63" s="9" t="s">
        <v>63</v>
      </c>
      <c r="C63" s="13" t="str">
        <f>HYPERLINK("https://redhat.atlassian.net/browse/RHAIRFE-1458","RHAIRFE-1458")</f>
        <v>RHAIRFE-1458</v>
      </c>
      <c r="D63" s="9" t="s">
        <v>297</v>
      </c>
      <c r="E63" s="9"/>
      <c r="F63" s="9" t="s">
        <v>84</v>
      </c>
    </row>
    <row r="64">
      <c r="A64" s="9" t="s">
        <v>348</v>
      </c>
      <c r="B64" s="9" t="s">
        <v>348</v>
      </c>
      <c r="C64" s="13" t="str">
        <f>HYPERLINK("https://redhat.atlassian.net/browse/RHAIRFE-8","RHAIRFE-8")</f>
        <v>RHAIRFE-8</v>
      </c>
      <c r="D64" s="9" t="s">
        <v>78</v>
      </c>
      <c r="E64" s="9" t="s">
        <v>82</v>
      </c>
      <c r="F64" s="9" t="s">
        <v>84</v>
      </c>
    </row>
    <row r="65">
      <c r="A65" s="9" t="s">
        <v>348</v>
      </c>
      <c r="B65" s="9" t="s">
        <v>348</v>
      </c>
      <c r="C65" s="13" t="str">
        <f>HYPERLINK("https://redhat.atlassian.net/browse/RHAIRFE-108","RHAIRFE-108")</f>
        <v>RHAIRFE-108</v>
      </c>
      <c r="D65" s="9" t="s">
        <v>86</v>
      </c>
      <c r="E65" s="9" t="s">
        <v>88</v>
      </c>
      <c r="F65" s="9" t="s">
        <v>84</v>
      </c>
    </row>
    <row r="66">
      <c r="A66" s="9" t="s">
        <v>348</v>
      </c>
      <c r="B66" s="9" t="s">
        <v>348</v>
      </c>
      <c r="C66" s="13" t="str">
        <f>HYPERLINK("https://redhat.atlassian.net/browse/RHAIRFE-971","RHAIRFE-971")</f>
        <v>RHAIRFE-971</v>
      </c>
      <c r="D66" s="9" t="s">
        <v>89</v>
      </c>
      <c r="E66" s="9" t="s">
        <v>88</v>
      </c>
      <c r="F66" s="9" t="s">
        <v>84</v>
      </c>
    </row>
    <row r="67">
      <c r="A67" s="21" t="s">
        <v>350</v>
      </c>
      <c r="B67" s="21"/>
      <c r="C67" s="22"/>
      <c r="D67" s="21"/>
      <c r="E67" s="21"/>
      <c r="F67" s="21"/>
    </row>
    <row r="68">
      <c r="A68" s="8" t="str">
        <f>HYPERLINK("https://redhat.atlassian.net/browse/HATSTRAT-314","T1: BYOA")</f>
        <v>T1: BYOA</v>
      </c>
      <c r="B68" s="9" t="s">
        <v>45</v>
      </c>
      <c r="C68" s="13" t="str">
        <f>HYPERLINK("https://redhat.atlassian.net/browse/RHAISTRAT-210","RHAISTRAT-210")</f>
        <v>RHAISTRAT-210</v>
      </c>
      <c r="D68" s="9" t="s">
        <v>147</v>
      </c>
      <c r="E68" s="9" t="s">
        <v>150</v>
      </c>
      <c r="F68" s="9" t="s">
        <v>94</v>
      </c>
    </row>
    <row r="69">
      <c r="A69" s="13" t="str">
        <f t="shared" ref="A69:A76" si="13">HYPERLINK("https://redhat.atlassian.net/browse/HATSTRAT-315","T2: One API")</f>
        <v>T2: One API</v>
      </c>
      <c r="B69" s="9" t="s">
        <v>52</v>
      </c>
      <c r="C69" s="13" t="str">
        <f>HYPERLINK("https://redhat.atlassian.net/browse/RHAISTRAT-1418","RHAISTRAT-1418")</f>
        <v>RHAISTRAT-1418</v>
      </c>
      <c r="D69" s="9" t="s">
        <v>105</v>
      </c>
      <c r="E69" s="9" t="s">
        <v>112</v>
      </c>
      <c r="F69" s="9" t="s">
        <v>94</v>
      </c>
    </row>
    <row r="70">
      <c r="A70" s="13" t="str">
        <f t="shared" si="13"/>
        <v>T2: One API</v>
      </c>
      <c r="B70" s="9" t="s">
        <v>51</v>
      </c>
      <c r="C70" s="13" t="str">
        <f>HYPERLINK("https://redhat.atlassian.net/browse/RHAISTRAT-1416","RHAISTRAT-1416")</f>
        <v>RHAISTRAT-1416</v>
      </c>
      <c r="D70" s="9" t="s">
        <v>110</v>
      </c>
      <c r="E70" s="9" t="s">
        <v>112</v>
      </c>
      <c r="F70" s="9" t="s">
        <v>94</v>
      </c>
    </row>
    <row r="71">
      <c r="A71" s="13" t="str">
        <f t="shared" si="13"/>
        <v>T2: One API</v>
      </c>
      <c r="B71" s="9" t="s">
        <v>58</v>
      </c>
      <c r="C71" s="13" t="str">
        <f>HYPERLINK("https://redhat.atlassian.net/browse/RHAIRFE-1335","RHAIRFE-1335")</f>
        <v>RHAIRFE-1335</v>
      </c>
      <c r="D71" s="9" t="s">
        <v>262</v>
      </c>
      <c r="E71" s="9" t="s">
        <v>112</v>
      </c>
      <c r="F71" s="9" t="s">
        <v>94</v>
      </c>
    </row>
    <row r="72">
      <c r="A72" s="13" t="str">
        <f t="shared" si="13"/>
        <v>T2: One API</v>
      </c>
      <c r="B72" s="9" t="s">
        <v>56</v>
      </c>
      <c r="C72" s="13" t="str">
        <f>HYPERLINK("https://redhat.atlassian.net/browse/RHAISTRAT-185","RHAISTRAT-185")</f>
        <v>RHAISTRAT-185</v>
      </c>
      <c r="D72" s="9" t="s">
        <v>229</v>
      </c>
      <c r="E72" s="9" t="s">
        <v>112</v>
      </c>
      <c r="F72" s="9" t="s">
        <v>94</v>
      </c>
    </row>
    <row r="73">
      <c r="A73" s="13" t="str">
        <f t="shared" si="13"/>
        <v>T2: One API</v>
      </c>
      <c r="B73" s="9" t="s">
        <v>56</v>
      </c>
      <c r="C73" s="13" t="str">
        <f>HYPERLINK("https://redhat.atlassian.net/browse/RHAISTRAT-1361","RHAISTRAT-1361")</f>
        <v>RHAISTRAT-1361</v>
      </c>
      <c r="D73" s="9" t="s">
        <v>240</v>
      </c>
      <c r="E73" s="9" t="s">
        <v>112</v>
      </c>
      <c r="F73" s="9" t="s">
        <v>94</v>
      </c>
    </row>
    <row r="74">
      <c r="A74" s="13" t="str">
        <f t="shared" si="13"/>
        <v>T2: One API</v>
      </c>
      <c r="B74" s="9" t="s">
        <v>56</v>
      </c>
      <c r="C74" s="13" t="str">
        <f>HYPERLINK("https://redhat.atlassian.net/browse/RHAISTRAT-1362","RHAISTRAT-1362")</f>
        <v>RHAISTRAT-1362</v>
      </c>
      <c r="D74" s="9" t="s">
        <v>242</v>
      </c>
      <c r="E74" s="9" t="s">
        <v>112</v>
      </c>
      <c r="F74" s="9" t="s">
        <v>94</v>
      </c>
    </row>
    <row r="75">
      <c r="A75" s="13" t="str">
        <f t="shared" si="13"/>
        <v>T2: One API</v>
      </c>
      <c r="B75" s="9" t="s">
        <v>56</v>
      </c>
      <c r="C75" s="13" t="str">
        <f>HYPERLINK("https://redhat.atlassian.net/browse/RHAISTRAT-1373","RHAISTRAT-1373")</f>
        <v>RHAISTRAT-1373</v>
      </c>
      <c r="D75" s="9" t="s">
        <v>243</v>
      </c>
      <c r="E75" s="9" t="s">
        <v>112</v>
      </c>
      <c r="F75" s="9" t="s">
        <v>94</v>
      </c>
    </row>
    <row r="76">
      <c r="A76" s="13" t="str">
        <f t="shared" si="13"/>
        <v>T2: One API</v>
      </c>
      <c r="B76" s="9" t="s">
        <v>56</v>
      </c>
      <c r="C76" s="13" t="str">
        <f>HYPERLINK("https://redhat.atlassian.net/browse/RHAISTRAT-1374","RHAISTRAT-1374")</f>
        <v>RHAISTRAT-1374</v>
      </c>
      <c r="D76" s="9" t="s">
        <v>245</v>
      </c>
      <c r="E76" s="9" t="s">
        <v>112</v>
      </c>
      <c r="F76" s="9" t="s">
        <v>94</v>
      </c>
    </row>
    <row r="77">
      <c r="A77" s="13" t="str">
        <f t="shared" ref="A77:A80" si="14">HYPERLINK("https://redhat.atlassian.net/browse/HATSTRAT-318","T5: First Agent")</f>
        <v>T5: First Agent</v>
      </c>
      <c r="B77" s="9" t="s">
        <v>69</v>
      </c>
      <c r="C77" s="13" t="str">
        <f>HYPERLINK("https://redhat.atlassian.net/browse/RHAIRFE-390","RHAIRFE-390")</f>
        <v>RHAIRFE-390</v>
      </c>
      <c r="D77" s="9" t="s">
        <v>325</v>
      </c>
      <c r="E77" s="9" t="s">
        <v>141</v>
      </c>
      <c r="F77" s="9" t="s">
        <v>94</v>
      </c>
    </row>
    <row r="78">
      <c r="A78" s="13" t="str">
        <f t="shared" si="14"/>
        <v>T5: First Agent</v>
      </c>
      <c r="B78" s="9" t="s">
        <v>69</v>
      </c>
      <c r="C78" s="13" t="str">
        <f>HYPERLINK("https://redhat.atlassian.net/browse/RHAISTRAT-349","RHAISTRAT-349")</f>
        <v>RHAISTRAT-349</v>
      </c>
      <c r="D78" s="9" t="s">
        <v>332</v>
      </c>
      <c r="E78" s="9" t="s">
        <v>141</v>
      </c>
      <c r="F78" s="9" t="s">
        <v>94</v>
      </c>
    </row>
    <row r="79">
      <c r="A79" s="13" t="str">
        <f t="shared" si="14"/>
        <v>T5: First Agent</v>
      </c>
      <c r="B79" s="9" t="s">
        <v>68</v>
      </c>
      <c r="C79" s="13" t="str">
        <f>HYPERLINK("https://redhat.atlassian.net/browse/RHAISTRAT-1192","RHAISTRAT-1192")</f>
        <v>RHAISTRAT-1192</v>
      </c>
      <c r="D79" s="9" t="s">
        <v>313</v>
      </c>
      <c r="E79" s="9" t="s">
        <v>88</v>
      </c>
      <c r="F79" s="9" t="s">
        <v>94</v>
      </c>
    </row>
    <row r="80">
      <c r="A80" s="8" t="str">
        <f t="shared" si="14"/>
        <v>T5: First Agent</v>
      </c>
      <c r="B80" s="9" t="s">
        <v>68</v>
      </c>
      <c r="C80" s="13" t="str">
        <f>HYPERLINK("https://redhat.atlassian.net/browse/RHAISTRAT-1283","RHAISTRAT-1283")</f>
        <v>RHAISTRAT-1283</v>
      </c>
      <c r="D80" s="9" t="s">
        <v>315</v>
      </c>
      <c r="E80" s="9" t="s">
        <v>88</v>
      </c>
      <c r="F80" s="9" t="s">
        <v>94</v>
      </c>
    </row>
    <row r="81">
      <c r="A81" s="9" t="s">
        <v>348</v>
      </c>
      <c r="B81" s="9" t="s">
        <v>348</v>
      </c>
      <c r="C81" s="13" t="str">
        <f>HYPERLINK("https://redhat.atlassian.net/browse/RHAIRFE-1306","RHAIRFE-1306")</f>
        <v>RHAIRFE-1306</v>
      </c>
      <c r="D81" s="9" t="s">
        <v>92</v>
      </c>
      <c r="E81" s="9" t="s">
        <v>93</v>
      </c>
      <c r="F81" s="9" t="s">
        <v>94</v>
      </c>
    </row>
    <row r="82">
      <c r="A82" s="9" t="s">
        <v>348</v>
      </c>
      <c r="B82" s="9" t="s">
        <v>348</v>
      </c>
      <c r="C82" s="13" t="str">
        <f>HYPERLINK("https://redhat.atlassian.net/browse/RHAIRFE-1531","RHAIRFE-1531")</f>
        <v>RHAIRFE-1531</v>
      </c>
      <c r="D82" s="9" t="s">
        <v>110</v>
      </c>
      <c r="E82" s="9" t="s">
        <v>112</v>
      </c>
      <c r="F82" s="9" t="s">
        <v>94</v>
      </c>
    </row>
    <row r="83">
      <c r="A83" s="9" t="s">
        <v>348</v>
      </c>
      <c r="B83" s="9" t="s">
        <v>348</v>
      </c>
      <c r="C83" s="13" t="str">
        <f>HYPERLINK("https://redhat.atlassian.net/browse/RHAIRFE-1533","RHAIRFE-1533")</f>
        <v>RHAIRFE-1533</v>
      </c>
      <c r="D83" s="9" t="s">
        <v>113</v>
      </c>
      <c r="E83" s="9" t="s">
        <v>114</v>
      </c>
      <c r="F83" s="9" t="s">
        <v>94</v>
      </c>
    </row>
    <row r="84">
      <c r="A84" s="9" t="s">
        <v>348</v>
      </c>
      <c r="B84" s="9" t="s">
        <v>348</v>
      </c>
      <c r="C84" s="13" t="str">
        <f>HYPERLINK("https://redhat.atlassian.net/browse/RHAISTRAT-93","RHAISTRAT-93")</f>
        <v>RHAISTRAT-93</v>
      </c>
      <c r="D84" s="9" t="s">
        <v>115</v>
      </c>
      <c r="E84" s="9" t="s">
        <v>119</v>
      </c>
      <c r="F84" s="9" t="s">
        <v>94</v>
      </c>
    </row>
    <row r="85">
      <c r="A85" s="8" t="str">
        <f t="shared" ref="A85:A89" si="15">HYPERLINK("https://redhat.atlassian.net/browse/HATSTRAT-314","T1: BYOA")</f>
        <v>T1: BYOA</v>
      </c>
      <c r="B85" s="9" t="s">
        <v>45</v>
      </c>
      <c r="C85" s="13" t="str">
        <f>HYPERLINK("https://redhat.atlassian.net/browse/RHAIRFE-1560","RHAIRFE-1560")</f>
        <v>RHAIRFE-1560</v>
      </c>
      <c r="D85" s="9" t="s">
        <v>157</v>
      </c>
      <c r="E85" s="9" t="s">
        <v>158</v>
      </c>
      <c r="F85" s="9" t="s">
        <v>98</v>
      </c>
    </row>
    <row r="86">
      <c r="A86" s="8" t="str">
        <f t="shared" si="15"/>
        <v>T1: BYOA</v>
      </c>
      <c r="B86" s="9" t="s">
        <v>47</v>
      </c>
      <c r="C86" s="13" t="str">
        <f>HYPERLINK("https://redhat.atlassian.net/browse/RHAISTRAT-64","RHAISTRAT-64")</f>
        <v>RHAISTRAT-64</v>
      </c>
      <c r="D86" s="9" t="s">
        <v>159</v>
      </c>
      <c r="E86" s="9" t="s">
        <v>160</v>
      </c>
      <c r="F86" s="9" t="s">
        <v>98</v>
      </c>
    </row>
    <row r="87">
      <c r="A87" s="13" t="str">
        <f t="shared" si="15"/>
        <v>T1: BYOA</v>
      </c>
      <c r="B87" s="9" t="s">
        <v>47</v>
      </c>
      <c r="C87" s="13" t="str">
        <f>HYPERLINK("https://redhat.atlassian.net/browse/RHAISTRAT-104","RHAISTRAT-104")</f>
        <v>RHAISTRAT-104</v>
      </c>
      <c r="D87" s="9" t="s">
        <v>161</v>
      </c>
      <c r="E87" s="9" t="s">
        <v>163</v>
      </c>
      <c r="F87" s="9" t="s">
        <v>98</v>
      </c>
    </row>
    <row r="88">
      <c r="A88" s="13" t="str">
        <f t="shared" si="15"/>
        <v>T1: BYOA</v>
      </c>
      <c r="B88" s="9" t="s">
        <v>48</v>
      </c>
      <c r="C88" s="13" t="str">
        <f>HYPERLINK("https://redhat.atlassian.net/browse/RHAIRFE-1561","RHAIRFE-1561")</f>
        <v>RHAIRFE-1561</v>
      </c>
      <c r="D88" s="9" t="s">
        <v>171</v>
      </c>
      <c r="E88" s="9" t="s">
        <v>88</v>
      </c>
      <c r="F88" s="9" t="s">
        <v>98</v>
      </c>
    </row>
    <row r="89">
      <c r="A89" s="13" t="str">
        <f t="shared" si="15"/>
        <v>T1: BYOA</v>
      </c>
      <c r="B89" s="9" t="s">
        <v>48</v>
      </c>
      <c r="C89" s="13" t="str">
        <f>HYPERLINK("https://redhat.atlassian.net/browse/RHAISTRAT-175","RHAISTRAT-175")</f>
        <v>RHAISTRAT-175</v>
      </c>
      <c r="D89" s="9" t="s">
        <v>172</v>
      </c>
      <c r="E89" s="9" t="s">
        <v>175</v>
      </c>
      <c r="F89" s="9" t="s">
        <v>98</v>
      </c>
    </row>
    <row r="90">
      <c r="A90" s="13" t="str">
        <f t="shared" ref="A90:A102" si="16">HYPERLINK("https://redhat.atlassian.net/browse/HATSTRAT-315","T2: One API")</f>
        <v>T2: One API</v>
      </c>
      <c r="B90" s="9" t="s">
        <v>52</v>
      </c>
      <c r="C90" s="13" t="str">
        <f>HYPERLINK("https://redhat.atlassian.net/browse/RHAIRFE-1556","RHAIRFE-1556")</f>
        <v>RHAIRFE-1556</v>
      </c>
      <c r="D90" s="9" t="s">
        <v>209</v>
      </c>
      <c r="E90" s="9" t="s">
        <v>112</v>
      </c>
      <c r="F90" s="9" t="s">
        <v>98</v>
      </c>
    </row>
    <row r="91">
      <c r="A91" s="13" t="str">
        <f t="shared" si="16"/>
        <v>T2: One API</v>
      </c>
      <c r="B91" s="9" t="s">
        <v>52</v>
      </c>
      <c r="C91" s="13" t="str">
        <f>HYPERLINK("https://redhat.atlassian.net/browse/RHAIRFE-1564","RHAIRFE-1564")</f>
        <v>RHAIRFE-1564</v>
      </c>
      <c r="D91" s="9" t="s">
        <v>210</v>
      </c>
      <c r="E91" s="9" t="s">
        <v>112</v>
      </c>
      <c r="F91" s="9" t="s">
        <v>98</v>
      </c>
    </row>
    <row r="92">
      <c r="A92" s="13" t="str">
        <f t="shared" si="16"/>
        <v>T2: One API</v>
      </c>
      <c r="B92" s="9" t="s">
        <v>52</v>
      </c>
      <c r="C92" s="13" t="str">
        <f>HYPERLINK("https://redhat.atlassian.net/browse/RHAIRFE-1614","RHAIRFE-1614")</f>
        <v>RHAIRFE-1614</v>
      </c>
      <c r="D92" s="9" t="s">
        <v>211</v>
      </c>
      <c r="E92" s="9" t="s">
        <v>112</v>
      </c>
      <c r="F92" s="9" t="s">
        <v>98</v>
      </c>
    </row>
    <row r="93">
      <c r="A93" s="8" t="str">
        <f t="shared" si="16"/>
        <v>T2: One API</v>
      </c>
      <c r="B93" s="9" t="s">
        <v>52</v>
      </c>
      <c r="C93" s="13" t="str">
        <f>HYPERLINK("https://redhat.atlassian.net/browse/RHAISTRAT-1231","RHAISTRAT-1231")</f>
        <v>RHAISTRAT-1231</v>
      </c>
      <c r="D93" s="9" t="s">
        <v>212</v>
      </c>
      <c r="E93" s="9" t="s">
        <v>112</v>
      </c>
      <c r="F93" s="9" t="s">
        <v>98</v>
      </c>
    </row>
    <row r="94">
      <c r="A94" s="8" t="str">
        <f t="shared" si="16"/>
        <v>T2: One API</v>
      </c>
      <c r="B94" s="9" t="s">
        <v>52</v>
      </c>
      <c r="C94" s="13" t="str">
        <f>HYPERLINK("https://redhat.atlassian.net/browse/RHAISTRAT-1232","RHAISTRAT-1232")</f>
        <v>RHAISTRAT-1232</v>
      </c>
      <c r="D94" s="9" t="s">
        <v>213</v>
      </c>
      <c r="E94" s="9" t="s">
        <v>112</v>
      </c>
      <c r="F94" s="9" t="s">
        <v>98</v>
      </c>
    </row>
    <row r="95">
      <c r="A95" s="13" t="str">
        <f t="shared" si="16"/>
        <v>T2: One API</v>
      </c>
      <c r="B95" s="9" t="s">
        <v>52</v>
      </c>
      <c r="C95" s="13" t="str">
        <f>HYPERLINK("https://redhat.atlassian.net/browse/RHAISTRAT-1397","RHAISTRAT-1397")</f>
        <v>RHAISTRAT-1397</v>
      </c>
      <c r="D95" s="9" t="s">
        <v>214</v>
      </c>
      <c r="E95" s="9" t="s">
        <v>112</v>
      </c>
      <c r="F95" s="9" t="s">
        <v>98</v>
      </c>
    </row>
    <row r="96">
      <c r="A96" s="8" t="str">
        <f t="shared" si="16"/>
        <v>T2: One API</v>
      </c>
      <c r="B96" s="9" t="s">
        <v>52</v>
      </c>
      <c r="C96" s="13" t="str">
        <f>HYPERLINK("https://redhat.atlassian.net/browse/RHAISTRAT-1407","RHAISTRAT-1407")</f>
        <v>RHAISTRAT-1407</v>
      </c>
      <c r="D96" s="9" t="s">
        <v>215</v>
      </c>
      <c r="E96" s="9" t="s">
        <v>112</v>
      </c>
      <c r="F96" s="9" t="s">
        <v>98</v>
      </c>
    </row>
    <row r="97">
      <c r="A97" s="13" t="str">
        <f t="shared" si="16"/>
        <v>T2: One API</v>
      </c>
      <c r="B97" s="9" t="s">
        <v>59</v>
      </c>
      <c r="C97" s="13" t="str">
        <f>HYPERLINK("https://redhat.atlassian.net/browse/RHAIRFE-1559","RHAIRFE-1559")</f>
        <v>RHAIRFE-1559</v>
      </c>
      <c r="D97" s="9" t="s">
        <v>269</v>
      </c>
      <c r="E97" s="9" t="s">
        <v>112</v>
      </c>
      <c r="F97" s="9" t="s">
        <v>98</v>
      </c>
    </row>
    <row r="98">
      <c r="A98" s="8" t="str">
        <f t="shared" si="16"/>
        <v>T2: One API</v>
      </c>
      <c r="B98" s="9" t="s">
        <v>59</v>
      </c>
      <c r="C98" s="13" t="str">
        <f>HYPERLINK("https://redhat.atlassian.net/browse/RHAIRFE-1562","RHAIRFE-1562")</f>
        <v>RHAIRFE-1562</v>
      </c>
      <c r="D98" s="9" t="s">
        <v>270</v>
      </c>
      <c r="E98" s="9" t="s">
        <v>88</v>
      </c>
      <c r="F98" s="9" t="s">
        <v>98</v>
      </c>
    </row>
    <row r="99">
      <c r="A99" s="8" t="str">
        <f t="shared" si="16"/>
        <v>T2: One API</v>
      </c>
      <c r="B99" s="9" t="s">
        <v>58</v>
      </c>
      <c r="C99" s="13" t="str">
        <f>HYPERLINK("https://redhat.atlassian.net/browse/RHAIRFE-1511","RHAIRFE-1511")</f>
        <v>RHAIRFE-1511</v>
      </c>
      <c r="D99" s="9" t="s">
        <v>263</v>
      </c>
      <c r="E99" s="9" t="s">
        <v>112</v>
      </c>
      <c r="F99" s="9" t="s">
        <v>98</v>
      </c>
    </row>
    <row r="100">
      <c r="A100" s="13" t="str">
        <f t="shared" si="16"/>
        <v>T2: One API</v>
      </c>
      <c r="B100" s="9" t="s">
        <v>57</v>
      </c>
      <c r="C100" s="13" t="str">
        <f>HYPERLINK("https://redhat.atlassian.net/browse/RHAISTRAT-1321","RHAISTRAT-1321")</f>
        <v>RHAISTRAT-1321</v>
      </c>
      <c r="D100" s="9" t="s">
        <v>261</v>
      </c>
      <c r="E100" s="9" t="s">
        <v>112</v>
      </c>
      <c r="F100" s="9" t="s">
        <v>98</v>
      </c>
    </row>
    <row r="101">
      <c r="A101" s="13" t="str">
        <f t="shared" si="16"/>
        <v>T2: One API</v>
      </c>
      <c r="B101" s="9" t="s">
        <v>56</v>
      </c>
      <c r="C101" s="13" t="str">
        <f>HYPERLINK("https://redhat.atlassian.net/browse/RHAISTRAT-65","RHAISTRAT-65")</f>
        <v>RHAISTRAT-65</v>
      </c>
      <c r="D101" s="9" t="s">
        <v>247</v>
      </c>
      <c r="E101" s="9" t="s">
        <v>112</v>
      </c>
      <c r="F101" s="9" t="s">
        <v>98</v>
      </c>
    </row>
    <row r="102">
      <c r="A102" s="13" t="str">
        <f t="shared" si="16"/>
        <v>T2: One API</v>
      </c>
      <c r="B102" s="9" t="s">
        <v>56</v>
      </c>
      <c r="C102" s="13" t="str">
        <f>HYPERLINK("https://redhat.atlassian.net/browse/RHAISTRAT-954","RHAISTRAT-954")</f>
        <v>RHAISTRAT-954</v>
      </c>
      <c r="D102" s="9" t="s">
        <v>250</v>
      </c>
      <c r="E102" s="9" t="s">
        <v>112</v>
      </c>
      <c r="F102" s="9" t="s">
        <v>98</v>
      </c>
    </row>
    <row r="103">
      <c r="A103" s="13" t="str">
        <f t="shared" ref="A103:A108" si="17">HYPERLINK("https://redhat.atlassian.net/browse/HATSTRAT-316","T3: Tools to Swarms")</f>
        <v>T3: Tools to Swarms</v>
      </c>
      <c r="B103" s="9" t="s">
        <v>61</v>
      </c>
      <c r="C103" s="13" t="str">
        <f>HYPERLINK("https://redhat.atlassian.net/browse/RHAISTRAT-1306","RHAISTRAT-1306")</f>
        <v>RHAISTRAT-1306</v>
      </c>
      <c r="D103" s="9" t="s">
        <v>285</v>
      </c>
      <c r="E103" s="9" t="s">
        <v>160</v>
      </c>
      <c r="F103" s="9" t="s">
        <v>98</v>
      </c>
    </row>
    <row r="104">
      <c r="A104" s="13" t="str">
        <f t="shared" si="17"/>
        <v>T3: Tools to Swarms</v>
      </c>
      <c r="B104" s="9" t="s">
        <v>62</v>
      </c>
      <c r="C104" s="13" t="str">
        <f>HYPERLINK("https://redhat.atlassian.net/browse/RHAISTRAT-960","RHAISTRAT-960")</f>
        <v>RHAISTRAT-960</v>
      </c>
      <c r="D104" s="9" t="s">
        <v>289</v>
      </c>
      <c r="E104" s="9" t="s">
        <v>104</v>
      </c>
      <c r="F104" s="9" t="s">
        <v>98</v>
      </c>
    </row>
    <row r="105">
      <c r="A105" s="13" t="str">
        <f t="shared" si="17"/>
        <v>T3: Tools to Swarms</v>
      </c>
      <c r="B105" s="9" t="s">
        <v>272</v>
      </c>
      <c r="C105" s="13" t="str">
        <f>HYPERLINK("https://redhat.atlassian.net/browse/RHAIRFE-1557","RHAIRFE-1557")</f>
        <v>RHAIRFE-1557</v>
      </c>
      <c r="D105" s="9" t="s">
        <v>275</v>
      </c>
      <c r="E105" s="9" t="s">
        <v>88</v>
      </c>
      <c r="F105" s="9" t="s">
        <v>98</v>
      </c>
    </row>
    <row r="106">
      <c r="A106" s="13" t="str">
        <f t="shared" si="17"/>
        <v>T3: Tools to Swarms</v>
      </c>
      <c r="B106" s="9" t="s">
        <v>272</v>
      </c>
      <c r="C106" s="13" t="str">
        <f>HYPERLINK("https://redhat.atlassian.net/browse/RHAIRFE-1565","RHAIRFE-1565")</f>
        <v>RHAIRFE-1565</v>
      </c>
      <c r="D106" s="9" t="s">
        <v>276</v>
      </c>
      <c r="E106" s="9" t="s">
        <v>112</v>
      </c>
      <c r="F106" s="9" t="s">
        <v>98</v>
      </c>
    </row>
    <row r="107">
      <c r="A107" s="13" t="str">
        <f t="shared" si="17"/>
        <v>T3: Tools to Swarms</v>
      </c>
      <c r="B107" s="9" t="s">
        <v>272</v>
      </c>
      <c r="C107" s="13" t="str">
        <f>HYPERLINK("https://redhat.atlassian.net/browse/RHAIRFE-1567","RHAIRFE-1567")</f>
        <v>RHAIRFE-1567</v>
      </c>
      <c r="D107" s="9" t="s">
        <v>277</v>
      </c>
      <c r="E107" s="9" t="s">
        <v>278</v>
      </c>
      <c r="F107" s="9" t="s">
        <v>98</v>
      </c>
    </row>
    <row r="108">
      <c r="A108" s="13" t="str">
        <f t="shared" si="17"/>
        <v>T3: Tools to Swarms</v>
      </c>
      <c r="B108" s="9" t="s">
        <v>272</v>
      </c>
      <c r="C108" s="13" t="str">
        <f>HYPERLINK("https://redhat.atlassian.net/browse/RHAISTRAT-1436","RHAISTRAT-1436")</f>
        <v>RHAISTRAT-1436</v>
      </c>
      <c r="D108" s="9" t="s">
        <v>102</v>
      </c>
      <c r="E108" s="9" t="s">
        <v>158</v>
      </c>
      <c r="F108" s="9" t="s">
        <v>98</v>
      </c>
    </row>
    <row r="109">
      <c r="A109" s="13" t="str">
        <f>HYPERLINK("https://redhat.atlassian.net/browse/HATSTRAT-317","T4: Inference")</f>
        <v>T4: Inference</v>
      </c>
      <c r="B109" s="9" t="s">
        <v>66</v>
      </c>
      <c r="C109" s="13" t="str">
        <f>HYPERLINK("https://redhat.atlassian.net/browse/RHAISTRAT-1165","RHAISTRAT-1165")</f>
        <v>RHAISTRAT-1165</v>
      </c>
      <c r="D109" s="9" t="s">
        <v>305</v>
      </c>
      <c r="E109" s="9" t="s">
        <v>307</v>
      </c>
      <c r="F109" s="9" t="s">
        <v>98</v>
      </c>
    </row>
    <row r="110">
      <c r="A110" s="13" t="str">
        <f t="shared" ref="A110:A120" si="18">HYPERLINK("https://redhat.atlassian.net/browse/HATSTRAT-318","T5: First Agent")</f>
        <v>T5: First Agent</v>
      </c>
      <c r="B110" s="9" t="s">
        <v>67</v>
      </c>
      <c r="C110" s="13" t="str">
        <f>HYPERLINK("https://redhat.atlassian.net/browse/RHAISTRAT-129","RHAISTRAT-129")</f>
        <v>RHAISTRAT-129</v>
      </c>
      <c r="D110" s="9" t="s">
        <v>308</v>
      </c>
      <c r="E110" s="9" t="s">
        <v>309</v>
      </c>
      <c r="F110" s="9" t="s">
        <v>98</v>
      </c>
    </row>
    <row r="111">
      <c r="A111" s="13" t="str">
        <f t="shared" si="18"/>
        <v>T5: First Agent</v>
      </c>
      <c r="B111" s="9" t="s">
        <v>69</v>
      </c>
      <c r="C111" s="13" t="str">
        <f>HYPERLINK("https://redhat.atlassian.net/browse/RHAIRFE-738","RHAIRFE-738")</f>
        <v>RHAIRFE-738</v>
      </c>
      <c r="D111" s="9" t="s">
        <v>334</v>
      </c>
      <c r="E111" s="9" t="s">
        <v>141</v>
      </c>
      <c r="F111" s="9" t="s">
        <v>98</v>
      </c>
    </row>
    <row r="112">
      <c r="A112" s="13" t="str">
        <f t="shared" si="18"/>
        <v>T5: First Agent</v>
      </c>
      <c r="B112" s="9" t="s">
        <v>69</v>
      </c>
      <c r="C112" s="13" t="str">
        <f>HYPERLINK("https://redhat.atlassian.net/browse/RHAIRFE-739","RHAIRFE-739")</f>
        <v>RHAIRFE-739</v>
      </c>
      <c r="D112" s="9" t="s">
        <v>335</v>
      </c>
      <c r="E112" s="9" t="s">
        <v>141</v>
      </c>
      <c r="F112" s="9" t="s">
        <v>98</v>
      </c>
    </row>
    <row r="113">
      <c r="A113" s="13" t="str">
        <f t="shared" si="18"/>
        <v>T5: First Agent</v>
      </c>
      <c r="B113" s="9" t="s">
        <v>69</v>
      </c>
      <c r="C113" s="13" t="str">
        <f>HYPERLINK("https://redhat.atlassian.net/browse/RHAIRFE-764","RHAIRFE-764")</f>
        <v>RHAIRFE-764</v>
      </c>
      <c r="D113" s="9" t="s">
        <v>336</v>
      </c>
      <c r="E113" s="9" t="s">
        <v>141</v>
      </c>
      <c r="F113" s="9" t="s">
        <v>98</v>
      </c>
    </row>
    <row r="114">
      <c r="A114" s="13" t="str">
        <f t="shared" si="18"/>
        <v>T5: First Agent</v>
      </c>
      <c r="B114" s="9" t="s">
        <v>69</v>
      </c>
      <c r="C114" s="13" t="str">
        <f>HYPERLINK("https://redhat.atlassian.net/browse/RHAISTRAT-581","RHAISTRAT-581")</f>
        <v>RHAISTRAT-581</v>
      </c>
      <c r="D114" s="9" t="s">
        <v>337</v>
      </c>
      <c r="E114" s="9" t="s">
        <v>141</v>
      </c>
      <c r="F114" s="9" t="s">
        <v>98</v>
      </c>
    </row>
    <row r="115">
      <c r="A115" s="13" t="str">
        <f t="shared" si="18"/>
        <v>T5: First Agent</v>
      </c>
      <c r="B115" s="9" t="s">
        <v>68</v>
      </c>
      <c r="C115" s="13" t="str">
        <f>HYPERLINK("https://redhat.atlassian.net/browse/RHAIRFE-1307","RHAIRFE-1307")</f>
        <v>RHAIRFE-1307</v>
      </c>
      <c r="D115" s="9" t="s">
        <v>317</v>
      </c>
      <c r="E115" s="9" t="s">
        <v>88</v>
      </c>
      <c r="F115" s="9" t="s">
        <v>98</v>
      </c>
    </row>
    <row r="116">
      <c r="A116" s="13" t="str">
        <f t="shared" si="18"/>
        <v>T5: First Agent</v>
      </c>
      <c r="B116" s="9" t="s">
        <v>68</v>
      </c>
      <c r="C116" s="13" t="str">
        <f>HYPERLINK("https://redhat.atlassian.net/browse/RHAIRFE-1558","RHAIRFE-1558")</f>
        <v>RHAIRFE-1558</v>
      </c>
      <c r="D116" s="9" t="s">
        <v>318</v>
      </c>
      <c r="E116" s="9" t="s">
        <v>88</v>
      </c>
      <c r="F116" s="9" t="s">
        <v>98</v>
      </c>
    </row>
    <row r="117">
      <c r="A117" s="13" t="str">
        <f t="shared" si="18"/>
        <v>T5: First Agent</v>
      </c>
      <c r="B117" s="9" t="s">
        <v>68</v>
      </c>
      <c r="C117" s="13" t="str">
        <f>HYPERLINK("https://redhat.atlassian.net/browse/RHAISTRAT-1290","RHAISTRAT-1290")</f>
        <v>RHAISTRAT-1290</v>
      </c>
      <c r="D117" s="9" t="s">
        <v>321</v>
      </c>
      <c r="E117" s="9" t="s">
        <v>88</v>
      </c>
      <c r="F117" s="9" t="s">
        <v>98</v>
      </c>
    </row>
    <row r="118">
      <c r="A118" s="13" t="str">
        <f t="shared" si="18"/>
        <v>T5: First Agent</v>
      </c>
      <c r="B118" s="9" t="s">
        <v>68</v>
      </c>
      <c r="C118" s="13" t="str">
        <f>HYPERLINK("https://redhat.atlassian.net/browse/RHAISTRAT-1364","RHAISTRAT-1364")</f>
        <v>RHAISTRAT-1364</v>
      </c>
      <c r="D118" s="9" t="s">
        <v>322</v>
      </c>
      <c r="E118" s="9" t="s">
        <v>88</v>
      </c>
      <c r="F118" s="9" t="s">
        <v>98</v>
      </c>
    </row>
    <row r="119">
      <c r="A119" s="13" t="str">
        <f t="shared" si="18"/>
        <v>T5: First Agent</v>
      </c>
      <c r="B119" s="9" t="s">
        <v>68</v>
      </c>
      <c r="C119" s="13" t="str">
        <f>HYPERLINK("https://redhat.atlassian.net/browse/RHAISTRAT-1376","RHAISTRAT-1376")</f>
        <v>RHAISTRAT-1376</v>
      </c>
      <c r="D119" s="9" t="s">
        <v>323</v>
      </c>
      <c r="E119" s="9" t="s">
        <v>88</v>
      </c>
      <c r="F119" s="9" t="s">
        <v>98</v>
      </c>
    </row>
    <row r="120">
      <c r="A120" s="13" t="str">
        <f t="shared" si="18"/>
        <v>T5: First Agent</v>
      </c>
      <c r="B120" s="9" t="s">
        <v>68</v>
      </c>
      <c r="C120" s="13" t="str">
        <f>HYPERLINK("https://redhat.atlassian.net/browse/RHAISTRAT-1393","RHAISTRAT-1393")</f>
        <v>RHAISTRAT-1393</v>
      </c>
      <c r="D120" s="9" t="s">
        <v>324</v>
      </c>
      <c r="E120" s="9" t="s">
        <v>88</v>
      </c>
      <c r="F120" s="9" t="s">
        <v>98</v>
      </c>
    </row>
    <row r="121">
      <c r="A121" s="9" t="s">
        <v>348</v>
      </c>
      <c r="B121" s="9" t="s">
        <v>348</v>
      </c>
      <c r="C121" s="13" t="str">
        <f>HYPERLINK("https://redhat.atlassian.net/browse/RHAIRFE-1484","RHAIRFE-1484")</f>
        <v>RHAIRFE-1484</v>
      </c>
      <c r="D121" s="9" t="s">
        <v>102</v>
      </c>
      <c r="E121" s="9" t="s">
        <v>104</v>
      </c>
      <c r="F121" s="9" t="s">
        <v>98</v>
      </c>
    </row>
    <row r="122">
      <c r="A122" s="13" t="str">
        <f t="shared" ref="A122:A124" si="19">HYPERLINK("https://redhat.atlassian.net/browse/HATSTRAT-315","T2: One API")</f>
        <v>T2: One API</v>
      </c>
      <c r="B122" s="9" t="s">
        <v>52</v>
      </c>
      <c r="C122" s="13" t="str">
        <f>HYPERLINK("https://redhat.atlassian.net/browse/RHAISTRAT-1420","RHAISTRAT-1420")</f>
        <v>RHAISTRAT-1420</v>
      </c>
      <c r="D122" s="9" t="s">
        <v>216</v>
      </c>
      <c r="E122" s="9" t="s">
        <v>112</v>
      </c>
      <c r="F122" s="9" t="s">
        <v>84</v>
      </c>
    </row>
    <row r="123">
      <c r="A123" s="13" t="str">
        <f t="shared" si="19"/>
        <v>T2: One API</v>
      </c>
      <c r="B123" s="9" t="s">
        <v>50</v>
      </c>
      <c r="C123" s="13" t="str">
        <f>HYPERLINK("https://redhat.atlassian.net/browse/RHAISTRAT-1375","RHAISTRAT-1375")</f>
        <v>RHAISTRAT-1375</v>
      </c>
      <c r="D123" s="9" t="s">
        <v>197</v>
      </c>
      <c r="E123" s="9" t="s">
        <v>112</v>
      </c>
      <c r="F123" s="9" t="s">
        <v>84</v>
      </c>
    </row>
    <row r="124">
      <c r="A124" s="13" t="str">
        <f t="shared" si="19"/>
        <v>T2: One API</v>
      </c>
      <c r="B124" s="9" t="s">
        <v>56</v>
      </c>
      <c r="C124" s="13" t="str">
        <f>HYPERLINK("https://redhat.atlassian.net/browse/RHAISTRAT-1329","RHAISTRAT-1329")</f>
        <v>RHAISTRAT-1329</v>
      </c>
      <c r="D124" s="9" t="s">
        <v>256</v>
      </c>
      <c r="E124" s="9" t="s">
        <v>112</v>
      </c>
      <c r="F124" s="9" t="s">
        <v>84</v>
      </c>
    </row>
    <row r="125">
      <c r="A125" s="13" t="str">
        <f>HYPERLINK("https://redhat.atlassian.net/browse/HATSTRAT-317","T4: Inference")</f>
        <v>T4: Inference</v>
      </c>
      <c r="B125" s="9" t="s">
        <v>65</v>
      </c>
      <c r="C125" s="13" t="str">
        <f>HYPERLINK("https://redhat.atlassian.net/browse/RHAISTRAT-951","RHAISTRAT-951")</f>
        <v>RHAISTRAT-951</v>
      </c>
      <c r="D125" s="9" t="s">
        <v>301</v>
      </c>
      <c r="E125" s="9" t="s">
        <v>112</v>
      </c>
      <c r="F125" s="9" t="s">
        <v>84</v>
      </c>
    </row>
    <row r="126">
      <c r="A126" s="13" t="str">
        <f t="shared" ref="A126:A128" si="20">HYPERLINK("https://redhat.atlassian.net/browse/HATSTRAT-318","T5: First Agent")</f>
        <v>T5: First Agent</v>
      </c>
      <c r="B126" s="9" t="s">
        <v>67</v>
      </c>
      <c r="C126" s="13" t="str">
        <f>HYPERLINK("https://redhat.atlassian.net/browse/RHAISTRAT-1279","RHAISTRAT-1279")</f>
        <v>RHAISTRAT-1279</v>
      </c>
      <c r="D126" s="9" t="s">
        <v>310</v>
      </c>
      <c r="E126" s="9" t="s">
        <v>112</v>
      </c>
      <c r="F126" s="9" t="s">
        <v>84</v>
      </c>
    </row>
    <row r="127">
      <c r="A127" s="13" t="str">
        <f t="shared" si="20"/>
        <v>T5: First Agent</v>
      </c>
      <c r="B127" s="9" t="s">
        <v>68</v>
      </c>
      <c r="C127" s="13" t="str">
        <f>HYPERLINK("https://redhat.atlassian.net/browse/RHAISTRAT-1429","RHAISTRAT-1429")</f>
        <v>RHAISTRAT-1429</v>
      </c>
      <c r="D127" s="9" t="s">
        <v>216</v>
      </c>
      <c r="E127" s="9" t="s">
        <v>88</v>
      </c>
      <c r="F127" s="9" t="s">
        <v>84</v>
      </c>
    </row>
    <row r="128">
      <c r="A128" s="13" t="str">
        <f t="shared" si="20"/>
        <v>T5: First Agent</v>
      </c>
      <c r="B128" s="9" t="s">
        <v>69</v>
      </c>
      <c r="C128" s="13" t="str">
        <f>HYPERLINK("https://redhat.atlassian.net/browse/RHAIRFE-740","RHAIRFE-740")</f>
        <v>RHAIRFE-740</v>
      </c>
      <c r="D128" s="9" t="s">
        <v>340</v>
      </c>
      <c r="E128" s="9" t="s">
        <v>141</v>
      </c>
      <c r="F128" s="9" t="s">
        <v>341</v>
      </c>
    </row>
    <row r="129">
      <c r="A129" s="13" t="str">
        <f>HYPERLINK("https://redhat.atlassian.net/browse/HATSTRAT-314","T1: BYOA")</f>
        <v>T1: BYOA</v>
      </c>
      <c r="B129" s="9" t="s">
        <v>49</v>
      </c>
      <c r="C129" s="13" t="str">
        <f>HYPERLINK("https://redhat.atlassian.net/browse/RHAIRFE-1488","RHAIRFE-1488")</f>
        <v>RHAIRFE-1488</v>
      </c>
      <c r="D129" s="9" t="s">
        <v>194</v>
      </c>
      <c r="E129" s="9" t="s">
        <v>195</v>
      </c>
      <c r="F129" s="9" t="s">
        <v>196</v>
      </c>
    </row>
    <row r="130">
      <c r="A130" s="13" t="str">
        <f>HYPERLINK("https://redhat.atlassian.net/browse/HATSTRAT-315","T2: One API")</f>
        <v>T2: One API</v>
      </c>
      <c r="B130" s="9" t="s">
        <v>51</v>
      </c>
      <c r="C130" s="13" t="str">
        <f>HYPERLINK("https://redhat.atlassian.net/browse/RHAIRFE-1489","RHAIRFE-1489")</f>
        <v>RHAIRFE-1489</v>
      </c>
      <c r="D130" s="9" t="s">
        <v>200</v>
      </c>
      <c r="E130" s="9" t="s">
        <v>201</v>
      </c>
      <c r="F130" s="9" t="s">
        <v>196</v>
      </c>
    </row>
    <row r="131">
      <c r="A131" s="13" t="str">
        <f>HYPERLINK("https://redhat.atlassian.net/browse/HATSTRAT-317","T4: Inference")</f>
        <v>T4: Inference</v>
      </c>
      <c r="B131" s="9" t="s">
        <v>65</v>
      </c>
      <c r="C131" s="13" t="str">
        <f>HYPERLINK("https://redhat.atlassian.net/browse/RHAIRFE-975","RHAIRFE-975")</f>
        <v>RHAIRFE-975</v>
      </c>
      <c r="D131" s="9" t="s">
        <v>304</v>
      </c>
      <c r="E131" s="9" t="s">
        <v>112</v>
      </c>
      <c r="F131" s="9" t="s">
        <v>196</v>
      </c>
    </row>
    <row r="132">
      <c r="A132" s="13" t="str">
        <f>HYPERLINK("https://redhat.atlassian.net/browse/HATSTRAT-318","T5: First Agent")</f>
        <v>T5: First Agent</v>
      </c>
      <c r="B132" s="9" t="s">
        <v>67</v>
      </c>
      <c r="C132" s="13" t="str">
        <f>HYPERLINK("https://redhat.atlassian.net/browse/RHAISTRAT-1400","RHAISTRAT-1400")</f>
        <v>RHAISTRAT-1400</v>
      </c>
      <c r="D132" s="9" t="s">
        <v>312</v>
      </c>
      <c r="E132" s="9" t="s">
        <v>112</v>
      </c>
      <c r="F132" s="9" t="s">
        <v>196</v>
      </c>
    </row>
    <row r="133">
      <c r="A133" s="12"/>
      <c r="B133" s="9"/>
      <c r="C133" s="12"/>
      <c r="D133" s="9"/>
      <c r="E133" s="9"/>
      <c r="F133" s="9"/>
    </row>
    <row r="134">
      <c r="A134" s="12"/>
      <c r="B134" s="9"/>
      <c r="C134" s="12"/>
      <c r="D134" s="9"/>
      <c r="E134" s="12"/>
      <c r="F134" s="9"/>
    </row>
    <row r="135">
      <c r="A135" s="12"/>
      <c r="B135" s="9"/>
      <c r="C135" s="12"/>
      <c r="D135" s="9"/>
      <c r="E135" s="12"/>
      <c r="F135" s="9"/>
    </row>
    <row r="136">
      <c r="A136" s="12"/>
      <c r="B136" s="9"/>
      <c r="C136" s="12"/>
      <c r="D136" s="9"/>
      <c r="E136" s="9"/>
      <c r="F136" s="9"/>
    </row>
    <row r="137">
      <c r="A137" s="12"/>
      <c r="B137" s="9"/>
      <c r="C137" s="12"/>
      <c r="D137" s="9"/>
      <c r="E137" s="12"/>
      <c r="F137" s="9"/>
    </row>
    <row r="138">
      <c r="A138" s="12"/>
      <c r="B138" s="9"/>
      <c r="C138" s="12"/>
      <c r="D138" s="9"/>
      <c r="E138" s="12"/>
      <c r="F138" s="9"/>
    </row>
    <row r="139">
      <c r="A139" s="12"/>
      <c r="B139" s="9"/>
      <c r="C139" s="12"/>
      <c r="D139" s="9"/>
      <c r="E139" s="9"/>
      <c r="F139" s="9"/>
    </row>
    <row r="140">
      <c r="A140" s="12"/>
      <c r="B140" s="9"/>
      <c r="C140" s="12"/>
      <c r="D140" s="9"/>
      <c r="E140" s="12"/>
      <c r="F140" s="9"/>
    </row>
    <row r="141">
      <c r="A141" s="12"/>
      <c r="B141" s="9"/>
      <c r="C141" s="12"/>
      <c r="D141" s="9"/>
      <c r="E141" s="12"/>
      <c r="F141" s="9"/>
    </row>
    <row r="142">
      <c r="A142" s="12"/>
      <c r="B142" s="9"/>
      <c r="C142" s="12"/>
      <c r="D142" s="9"/>
      <c r="E142" s="9"/>
      <c r="F142" s="9"/>
    </row>
    <row r="143">
      <c r="A143" s="12"/>
      <c r="B143" s="9"/>
      <c r="C143" s="12"/>
      <c r="D143" s="9"/>
      <c r="E143" s="12"/>
      <c r="F143" s="9"/>
    </row>
    <row r="144">
      <c r="A144" s="12"/>
      <c r="B144" s="9"/>
      <c r="C144" s="12"/>
      <c r="D144" s="9"/>
      <c r="E144" s="12"/>
      <c r="F144" s="9"/>
    </row>
    <row r="145">
      <c r="A145" s="12"/>
      <c r="B145" s="9"/>
      <c r="C145" s="12"/>
      <c r="D145" s="9"/>
      <c r="E145" s="12"/>
      <c r="F145" s="9"/>
    </row>
    <row r="146">
      <c r="A146" s="12"/>
      <c r="B146" s="9"/>
      <c r="C146" s="12"/>
      <c r="D146" s="9"/>
      <c r="E146" s="12"/>
      <c r="F146" s="9"/>
    </row>
    <row r="147">
      <c r="A147" s="12"/>
      <c r="B147" s="9"/>
      <c r="C147" s="12"/>
      <c r="D147" s="9"/>
      <c r="E147" s="12"/>
      <c r="F147" s="9"/>
    </row>
    <row r="148">
      <c r="A148" s="12"/>
      <c r="B148" s="9"/>
      <c r="C148" s="12"/>
      <c r="D148" s="9"/>
      <c r="E148" s="9"/>
      <c r="F148" s="9"/>
    </row>
    <row r="149">
      <c r="A149" s="12"/>
      <c r="B149" s="9"/>
      <c r="C149" s="12"/>
      <c r="D149" s="9"/>
      <c r="E149" s="12"/>
      <c r="F149" s="9"/>
    </row>
    <row r="150">
      <c r="A150" s="12"/>
      <c r="B150" s="9"/>
      <c r="C150" s="12"/>
      <c r="D150" s="9"/>
      <c r="E150" s="9"/>
      <c r="F150" s="9"/>
    </row>
    <row r="151">
      <c r="A151" s="12"/>
      <c r="B151" s="9"/>
      <c r="C151" s="12"/>
      <c r="D151" s="9"/>
      <c r="E151" s="9"/>
      <c r="F151" s="9"/>
    </row>
    <row r="152">
      <c r="A152" s="12"/>
      <c r="B152" s="9"/>
      <c r="C152" s="12"/>
      <c r="D152" s="9"/>
      <c r="E152" s="12"/>
      <c r="F152" s="9"/>
    </row>
    <row r="153">
      <c r="A153" s="12"/>
      <c r="B153" s="9"/>
      <c r="C153" s="12"/>
      <c r="D153" s="9"/>
      <c r="E153" s="9"/>
      <c r="F153" s="9"/>
    </row>
    <row r="154">
      <c r="A154" s="12"/>
      <c r="B154" s="9"/>
      <c r="C154" s="12"/>
      <c r="D154" s="9"/>
      <c r="E154" s="9"/>
      <c r="F154" s="9"/>
    </row>
    <row r="155">
      <c r="A155" s="12"/>
      <c r="B155" s="9"/>
      <c r="C155" s="12"/>
      <c r="D155" s="9"/>
      <c r="E155" s="9"/>
      <c r="F155" s="9"/>
    </row>
    <row r="156">
      <c r="A156" s="12"/>
      <c r="B156" s="9"/>
      <c r="C156" s="12"/>
      <c r="D156" s="9"/>
      <c r="E156" s="9"/>
      <c r="F156" s="9"/>
    </row>
    <row r="157">
      <c r="A157" s="12"/>
      <c r="B157" s="9"/>
      <c r="C157" s="12"/>
      <c r="D157" s="9"/>
      <c r="E157" s="9"/>
      <c r="F157" s="9"/>
    </row>
    <row r="158">
      <c r="A158" s="12"/>
      <c r="B158" s="9"/>
      <c r="C158" s="12"/>
      <c r="D158" s="9"/>
      <c r="E158" s="9"/>
      <c r="F158" s="9"/>
    </row>
    <row r="159">
      <c r="A159" s="12"/>
      <c r="B159" s="9"/>
      <c r="C159" s="12"/>
      <c r="D159" s="9"/>
      <c r="E159" s="9"/>
      <c r="F159" s="9"/>
    </row>
    <row r="160">
      <c r="A160" s="12"/>
      <c r="B160" s="9"/>
      <c r="C160" s="12"/>
      <c r="D160" s="9"/>
      <c r="E160" s="9"/>
      <c r="F160" s="9"/>
    </row>
    <row r="161">
      <c r="A161" s="12"/>
      <c r="B161" s="9"/>
      <c r="C161" s="12"/>
      <c r="D161" s="9"/>
      <c r="E161" s="12"/>
      <c r="F161" s="9"/>
    </row>
    <row r="162">
      <c r="A162" s="12"/>
      <c r="B162" s="9"/>
      <c r="C162" s="12"/>
      <c r="D162" s="9"/>
      <c r="E162" s="9"/>
      <c r="F162" s="9"/>
    </row>
    <row r="163">
      <c r="A163" s="12"/>
      <c r="B163" s="9"/>
      <c r="C163" s="12"/>
      <c r="D163" s="9"/>
      <c r="E163" s="9"/>
      <c r="F163" s="9"/>
    </row>
    <row r="164">
      <c r="A164" s="12"/>
      <c r="B164" s="9"/>
      <c r="C164" s="12"/>
      <c r="D164" s="9"/>
      <c r="E164" s="9"/>
      <c r="F164" s="9"/>
    </row>
    <row r="165">
      <c r="A165" s="12"/>
      <c r="B165" s="9"/>
      <c r="C165" s="12"/>
      <c r="D165" s="9"/>
      <c r="E165" s="9"/>
      <c r="F165" s="9"/>
    </row>
    <row r="166">
      <c r="A166" s="12"/>
      <c r="B166" s="9"/>
      <c r="C166" s="12"/>
      <c r="D166" s="9"/>
      <c r="E166" s="12"/>
      <c r="F166" s="9"/>
    </row>
    <row r="167">
      <c r="A167" s="12"/>
      <c r="B167" s="9"/>
      <c r="C167" s="12"/>
      <c r="D167" s="9"/>
      <c r="E167" s="12"/>
      <c r="F167" s="9"/>
    </row>
    <row r="168">
      <c r="A168" s="12"/>
      <c r="B168" s="9"/>
      <c r="C168" s="12"/>
      <c r="D168" s="9"/>
      <c r="E168" s="12"/>
      <c r="F168" s="9"/>
    </row>
    <row r="169">
      <c r="A169" s="12"/>
      <c r="B169" s="9"/>
      <c r="C169" s="12"/>
      <c r="D169" s="9"/>
      <c r="E169" s="12"/>
      <c r="F169" s="9"/>
    </row>
    <row r="170">
      <c r="A170" s="12"/>
      <c r="B170" s="9"/>
      <c r="C170" s="12"/>
      <c r="D170" s="9"/>
      <c r="E170" s="12"/>
      <c r="F170" s="9"/>
    </row>
    <row r="171">
      <c r="A171" s="12"/>
      <c r="B171" s="9"/>
      <c r="C171" s="12"/>
      <c r="D171" s="9"/>
      <c r="E171" s="12"/>
      <c r="F171" s="9"/>
    </row>
    <row r="172">
      <c r="A172" s="12"/>
      <c r="B172" s="9"/>
      <c r="C172" s="12"/>
      <c r="D172" s="9"/>
      <c r="E172" s="12"/>
      <c r="F172" s="9"/>
    </row>
    <row r="173">
      <c r="A173" s="12"/>
      <c r="B173" s="9"/>
      <c r="C173" s="12"/>
      <c r="D173" s="9"/>
      <c r="E173" s="12"/>
      <c r="F173" s="9"/>
    </row>
    <row r="174">
      <c r="A174" s="12"/>
      <c r="B174" s="9"/>
      <c r="C174" s="12"/>
      <c r="D174" s="9"/>
      <c r="E174" s="12"/>
      <c r="F174" s="9"/>
    </row>
    <row r="175">
      <c r="A175" s="12"/>
      <c r="B175" s="9"/>
      <c r="C175" s="12"/>
      <c r="D175" s="9"/>
      <c r="E175" s="12"/>
      <c r="F175" s="9"/>
    </row>
    <row r="176">
      <c r="A176" s="12"/>
      <c r="B176" s="9"/>
      <c r="C176" s="12"/>
      <c r="D176" s="9"/>
      <c r="E176" s="12"/>
      <c r="F176" s="9"/>
    </row>
    <row r="177">
      <c r="A177" s="12"/>
      <c r="B177" s="9"/>
      <c r="C177" s="12"/>
      <c r="D177" s="9"/>
      <c r="E177" s="9"/>
      <c r="F177" s="9"/>
    </row>
    <row r="178">
      <c r="A178" s="12"/>
      <c r="B178" s="9"/>
      <c r="C178" s="12"/>
      <c r="D178" s="9"/>
      <c r="E178" s="12"/>
      <c r="F178" s="9"/>
    </row>
    <row r="179">
      <c r="A179" s="12"/>
      <c r="B179" s="9"/>
      <c r="C179" s="12"/>
      <c r="D179" s="9"/>
      <c r="E179" s="12"/>
      <c r="F179" s="9"/>
    </row>
    <row r="180">
      <c r="A180" s="12"/>
      <c r="B180" s="9"/>
      <c r="C180" s="12"/>
      <c r="D180" s="9"/>
      <c r="E180" s="12"/>
      <c r="F180" s="9"/>
    </row>
    <row r="181">
      <c r="A181" s="12"/>
      <c r="B181" s="9"/>
      <c r="C181" s="12"/>
      <c r="D181" s="9"/>
      <c r="E181" s="9"/>
      <c r="F181" s="9"/>
    </row>
    <row r="182">
      <c r="A182" s="12"/>
      <c r="B182" s="9"/>
      <c r="C182" s="12"/>
      <c r="D182" s="9"/>
      <c r="E182" s="12"/>
      <c r="F182" s="9"/>
    </row>
    <row r="183">
      <c r="A183" s="12"/>
      <c r="B183" s="9"/>
      <c r="C183" s="12"/>
      <c r="D183" s="9"/>
      <c r="E183" s="9"/>
      <c r="F183" s="9"/>
    </row>
    <row r="184">
      <c r="A184" s="12"/>
      <c r="B184" s="9"/>
      <c r="C184" s="12"/>
      <c r="D184" s="9"/>
      <c r="E184" s="9"/>
      <c r="F184" s="9"/>
    </row>
    <row r="185">
      <c r="A185" s="12"/>
      <c r="B185" s="9"/>
      <c r="C185" s="12"/>
      <c r="D185" s="9"/>
      <c r="E185" s="12"/>
      <c r="F185" s="9"/>
    </row>
    <row r="186">
      <c r="A186" s="12"/>
      <c r="B186" s="9"/>
      <c r="C186" s="12"/>
      <c r="D186" s="9"/>
      <c r="E186" s="12"/>
      <c r="F186" s="9"/>
    </row>
    <row r="187">
      <c r="A187" s="12"/>
      <c r="B187" s="9"/>
      <c r="C187" s="12"/>
      <c r="D187" s="9"/>
      <c r="E187" s="12"/>
      <c r="F187" s="9"/>
    </row>
    <row r="188">
      <c r="A188" s="12"/>
      <c r="B188" s="9"/>
      <c r="C188" s="12"/>
      <c r="D188" s="9"/>
      <c r="E188" s="12"/>
      <c r="F188" s="9"/>
    </row>
    <row r="189">
      <c r="A189" s="12"/>
      <c r="B189" s="9"/>
      <c r="C189" s="12"/>
      <c r="D189" s="9"/>
      <c r="E189" s="12"/>
      <c r="F189" s="9"/>
    </row>
    <row r="190">
      <c r="A190" s="12"/>
      <c r="B190" s="9"/>
      <c r="C190" s="12"/>
      <c r="D190" s="9"/>
      <c r="E190" s="12"/>
      <c r="F190" s="9"/>
    </row>
    <row r="191">
      <c r="A191" s="12"/>
      <c r="B191" s="9"/>
      <c r="C191" s="12"/>
      <c r="D191" s="9"/>
      <c r="E191" s="12"/>
      <c r="F191" s="9"/>
    </row>
    <row r="192">
      <c r="A192" s="12"/>
      <c r="B192" s="9"/>
      <c r="C192" s="12"/>
      <c r="D192" s="9"/>
      <c r="E192" s="9"/>
      <c r="F192" s="9"/>
    </row>
    <row r="193">
      <c r="A193" s="12"/>
      <c r="B193" s="9"/>
      <c r="C193" s="12"/>
      <c r="D193" s="9"/>
      <c r="E193" s="12"/>
      <c r="F193" s="9"/>
    </row>
    <row r="194">
      <c r="A194" s="12"/>
      <c r="B194" s="9"/>
      <c r="C194" s="12"/>
      <c r="D194" s="9"/>
      <c r="E194" s="12"/>
      <c r="F194" s="9"/>
    </row>
    <row r="195">
      <c r="A195" s="12"/>
      <c r="B195" s="9"/>
      <c r="C195" s="12"/>
      <c r="D195" s="9"/>
      <c r="E195" s="12"/>
      <c r="F195" s="9"/>
    </row>
    <row r="196">
      <c r="A196" s="12"/>
      <c r="B196" s="9"/>
      <c r="C196" s="12"/>
      <c r="D196" s="9"/>
      <c r="E196" s="12"/>
      <c r="F196" s="9"/>
    </row>
    <row r="197">
      <c r="A197" s="12"/>
      <c r="B197" s="9"/>
      <c r="C197" s="12"/>
      <c r="D197" s="9"/>
      <c r="E197" s="9"/>
      <c r="F197" s="9"/>
    </row>
    <row r="198">
      <c r="A198" s="12"/>
      <c r="B198" s="9"/>
      <c r="C198" s="12"/>
      <c r="D198" s="9"/>
      <c r="E198" s="12"/>
      <c r="F198" s="9"/>
    </row>
    <row r="199">
      <c r="A199" s="12"/>
      <c r="B199" s="9"/>
      <c r="C199" s="12"/>
      <c r="D199" s="9"/>
      <c r="E199" s="12"/>
      <c r="F199" s="9"/>
    </row>
    <row r="200">
      <c r="A200" s="12"/>
      <c r="B200" s="9"/>
      <c r="C200" s="12"/>
      <c r="D200" s="9"/>
      <c r="E200" s="12"/>
      <c r="F200" s="9"/>
    </row>
    <row r="201">
      <c r="A201" s="12"/>
      <c r="B201" s="9"/>
      <c r="C201" s="12"/>
      <c r="D201" s="9"/>
      <c r="E201" s="12"/>
      <c r="F201" s="9"/>
    </row>
    <row r="202">
      <c r="A202" s="12"/>
      <c r="B202" s="9"/>
      <c r="C202" s="12"/>
      <c r="D202" s="9"/>
      <c r="E202" s="12"/>
      <c r="F202" s="9"/>
    </row>
    <row r="203">
      <c r="A203" s="12"/>
      <c r="B203" s="9"/>
      <c r="C203" s="12"/>
      <c r="D203" s="9"/>
      <c r="E203" s="9"/>
      <c r="F203" s="9"/>
    </row>
    <row r="204">
      <c r="A204" s="12"/>
      <c r="B204" s="9"/>
      <c r="C204" s="12"/>
      <c r="D204" s="9"/>
      <c r="E204" s="9"/>
      <c r="F204" s="9"/>
    </row>
    <row r="205">
      <c r="A205" s="12"/>
      <c r="B205" s="9"/>
      <c r="C205" s="12"/>
      <c r="D205" s="9"/>
      <c r="E205" s="9"/>
      <c r="F205" s="9"/>
    </row>
    <row r="206">
      <c r="A206" s="12"/>
      <c r="B206" s="9"/>
      <c r="C206" s="12"/>
      <c r="D206" s="9"/>
      <c r="E206" s="12"/>
      <c r="F206" s="9"/>
    </row>
  </sheetData>
  <drawing r:id="rId1"/>
</worksheet>
</file>